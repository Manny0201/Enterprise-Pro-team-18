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4"/>
  <workbookPr codeName="ThisWorkbook"/>
  <mc:AlternateContent xmlns:mc="http://schemas.openxmlformats.org/markup-compatibility/2006">
    <mc:Choice Requires="x15">
      <x15ac:absPath xmlns:x15ac="http://schemas.microsoft.com/office/spreadsheetml/2010/11/ac" url="/Users/sulaimansaeed/Desktop/"/>
    </mc:Choice>
  </mc:AlternateContent>
  <xr:revisionPtr revIDLastSave="0" documentId="13_ncr:1_{7F0DE504-BCDB-A948-80B7-70E14D2707C4}" xr6:coauthVersionLast="47" xr6:coauthVersionMax="47" xr10:uidLastSave="{00000000-0000-0000-0000-000000000000}"/>
  <bookViews>
    <workbookView xWindow="-5860" yWindow="-21100" windowWidth="38400" windowHeight="21100" xr2:uid="{00000000-000D-0000-FFFF-FFFF00000000}"/>
  </bookViews>
  <sheets>
    <sheet name="Project schedule" sheetId="11" r:id="rId1"/>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 i="11" l="1"/>
  <c r="H7" i="11" l="1"/>
  <c r="I5" i="11" l="1"/>
  <c r="H31" i="11"/>
  <c r="H24" i="11"/>
  <c r="H16" i="11"/>
  <c r="H8" i="11"/>
  <c r="H25" i="11" l="1"/>
  <c r="H26" i="11"/>
  <c r="H9" i="11"/>
  <c r="F10" i="11"/>
  <c r="E15" i="11"/>
  <c r="I6" i="11"/>
  <c r="H30" i="11" l="1"/>
  <c r="H10" i="11"/>
  <c r="H27" i="11"/>
  <c r="H17" i="11"/>
  <c r="F15" i="11"/>
  <c r="H15" i="11" s="1"/>
  <c r="J5" i="11"/>
  <c r="K5" i="11" s="1"/>
  <c r="L5" i="11" s="1"/>
  <c r="M5" i="11" s="1"/>
  <c r="N5" i="11" s="1"/>
  <c r="O5" i="11" s="1"/>
  <c r="P5" i="11" s="1"/>
  <c r="I4" i="11"/>
  <c r="H28" i="11" l="1"/>
  <c r="H18" i="11"/>
  <c r="H11" i="11"/>
  <c r="H12" i="11"/>
  <c r="P4" i="11"/>
  <c r="Q5" i="11"/>
  <c r="R5" i="11" s="1"/>
  <c r="S5" i="11" s="1"/>
  <c r="T5" i="11" s="1"/>
  <c r="U5" i="11" s="1"/>
  <c r="V5" i="11" s="1"/>
  <c r="W5" i="11" s="1"/>
  <c r="J6" i="11"/>
  <c r="H23" i="11" l="1"/>
  <c r="H20" i="11"/>
  <c r="H19"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<sst xmlns="http://schemas.openxmlformats.org/spreadsheetml/2006/main" count="39" uniqueCount="26">
  <si>
    <t>Project start:</t>
  </si>
  <si>
    <t>Display week:</t>
  </si>
  <si>
    <t>TASK</t>
  </si>
  <si>
    <t>ASSIGNED TO</t>
  </si>
  <si>
    <t>PROGRESS</t>
  </si>
  <si>
    <t>START</t>
  </si>
  <si>
    <t>END</t>
  </si>
  <si>
    <t xml:space="preserve">Do not delete this row. This row is hidden to preserve a formula that is used to highlight the current day within the project schedule. </t>
  </si>
  <si>
    <t>Amaan Mahmood</t>
  </si>
  <si>
    <t>Hassan Raza</t>
  </si>
  <si>
    <t>Mehdi Bukhari</t>
  </si>
  <si>
    <t>Fahad Khan</t>
  </si>
  <si>
    <t>Fizzah Khan</t>
  </si>
  <si>
    <t>Sulaiman Saeed</t>
  </si>
  <si>
    <t>Adam Sajid</t>
  </si>
  <si>
    <t>WW1 Database</t>
  </si>
  <si>
    <t>linking database</t>
  </si>
  <si>
    <t>creating Login page to database and create database for login</t>
  </si>
  <si>
    <t>Designing and devolping home page</t>
  </si>
  <si>
    <t>linking ww1 database</t>
  </si>
  <si>
    <t>Developing WW1 Database</t>
  </si>
  <si>
    <t>Part 1 of the Prjoect deadline 7th march</t>
  </si>
  <si>
    <t>Adam Sajad</t>
  </si>
  <si>
    <t>Desining and Developing the about us page</t>
  </si>
  <si>
    <t xml:space="preserve">Designing and devolping the peoples search page </t>
  </si>
  <si>
    <t xml:space="preserve">Part 2 of the project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</si>
</sst>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sz val="11"/>
      <color theme="1"/>
      <name val="Arial Black"/>
      <family val="2"/>
      <scheme val="major"/>
    </font>
    <font>
      <b/>
      <sz val="40"/>
      <color theme="1"/>
      <name val="Arial Black"/>
      <family val="2"/>
      <scheme val="major"/>
    </font>
    <font>
      <b/>
      <sz val="16"/>
      <color theme="1"/>
      <name val="Arial"/>
      <family val="2"/>
      <scheme val="minor"/>
    </font>
    <font>
      <b/>
      <sz val="16"/>
      <color theme="1"/>
      <name val="Arial Black"/>
      <family val="2"/>
      <scheme val="maj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4" tint="-0.249977111117893"/>
        <bgColor indexed="64"/>
      </patternFill>
    </fill>
    <fill>
      <patternFill patternType="solid">
        <fgColor rgb="FFFFFF00"/>
        <bgColor indexed="64"/>
      </patternFill>
    </fill>
  </fills>
  <borders count="21">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7"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96">
    <xf numFmtId="0" fontId="0" fillId="0" borderId="0" xfId="0"/>
    <xf numFmtId="0" fontId="1" fillId="0" borderId="0" xfId="0" applyFont="1"/>
    <xf numFmtId="0" fontId="0" fillId="0" borderId="0" xfId="0" applyAlignment="1">
      <alignment horizontal="center"/>
    </xf>
    <xf numFmtId="0" fontId="3" fillId="0" borderId="1" xfId="0" applyFont="1" applyBorder="1" applyAlignment="1">
      <alignment horizontal="center" vertical="center"/>
    </xf>
    <xf numFmtId="0" fontId="7" fillId="0" borderId="0" xfId="3"/>
    <xf numFmtId="0" fontId="7" fillId="0" borderId="0" xfId="3" applyAlignment="1">
      <alignment wrapText="1"/>
    </xf>
    <xf numFmtId="0" fontId="3" fillId="0" borderId="0" xfId="0" applyFont="1" applyAlignment="1">
      <alignment horizontal="center" vertical="center"/>
    </xf>
    <xf numFmtId="0" fontId="9" fillId="0" borderId="0" xfId="0" applyFont="1"/>
    <xf numFmtId="0" fontId="8" fillId="0" borderId="0" xfId="0" applyFont="1"/>
    <xf numFmtId="0" fontId="8" fillId="0" borderId="0" xfId="0" applyFont="1" applyAlignment="1">
      <alignment horizontal="center"/>
    </xf>
    <xf numFmtId="0" fontId="8" fillId="0" borderId="0" xfId="0" applyFont="1" applyAlignment="1">
      <alignment horizontal="center" vertical="center"/>
    </xf>
    <xf numFmtId="0" fontId="10" fillId="0" borderId="0" xfId="0" applyFont="1"/>
    <xf numFmtId="0" fontId="10" fillId="0" borderId="0" xfId="0" applyFont="1" applyAlignment="1">
      <alignment horizontal="center"/>
    </xf>
    <xf numFmtId="0" fontId="11" fillId="0" borderId="0" xfId="0" applyFont="1"/>
    <xf numFmtId="0" fontId="12"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5" fillId="10" borderId="19" xfId="0" applyNumberFormat="1" applyFont="1" applyFill="1" applyBorder="1" applyAlignment="1">
      <alignment horizontal="center" vertical="center"/>
    </xf>
    <xf numFmtId="167" fontId="15" fillId="10" borderId="17" xfId="0" applyNumberFormat="1" applyFont="1" applyFill="1" applyBorder="1" applyAlignment="1">
      <alignment horizontal="center" vertical="center"/>
    </xf>
    <xf numFmtId="167" fontId="15" fillId="10" borderId="18" xfId="0" applyNumberFormat="1" applyFont="1" applyFill="1" applyBorder="1" applyAlignment="1">
      <alignment horizontal="center" vertical="center"/>
    </xf>
    <xf numFmtId="0" fontId="16" fillId="2" borderId="16" xfId="0" applyFont="1" applyFill="1" applyBorder="1" applyAlignment="1">
      <alignment horizontal="center" vertical="center" shrinkToFit="1"/>
    </xf>
    <xf numFmtId="0" fontId="16" fillId="2" borderId="13" xfId="0" applyFont="1" applyFill="1" applyBorder="1" applyAlignment="1">
      <alignment horizontal="center" vertical="center" shrinkToFit="1"/>
    </xf>
    <xf numFmtId="0" fontId="16" fillId="2" borderId="14" xfId="0" applyFont="1" applyFill="1" applyBorder="1" applyAlignment="1">
      <alignment horizontal="center" vertical="center" shrinkToFit="1"/>
    </xf>
    <xf numFmtId="0" fontId="13" fillId="0" borderId="0" xfId="0" applyFont="1"/>
    <xf numFmtId="0" fontId="13" fillId="0" borderId="0" xfId="0" applyFont="1" applyAlignment="1">
      <alignment wrapText="1"/>
    </xf>
    <xf numFmtId="0" fontId="4" fillId="0" borderId="3" xfId="0" applyFont="1" applyBorder="1" applyAlignment="1">
      <alignment vertical="center"/>
    </xf>
    <xf numFmtId="0" fontId="17" fillId="6" borderId="0" xfId="0" applyFont="1" applyFill="1" applyAlignment="1">
      <alignment horizontal="left" vertical="center" indent="1"/>
    </xf>
    <xf numFmtId="0" fontId="13" fillId="6" borderId="0" xfId="11" applyFont="1" applyFill="1" applyBorder="1" applyAlignment="1">
      <alignment vertical="center"/>
    </xf>
    <xf numFmtId="9" fontId="1" fillId="6" borderId="0" xfId="2" applyFont="1" applyFill="1" applyBorder="1" applyAlignment="1">
      <alignment horizontal="center" vertical="center"/>
    </xf>
    <xf numFmtId="164" fontId="13"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1" xfId="0" applyFont="1" applyBorder="1" applyAlignment="1">
      <alignment vertical="center"/>
    </xf>
    <xf numFmtId="0" fontId="4" fillId="0" borderId="0" xfId="0" applyFont="1" applyAlignment="1">
      <alignment vertical="center"/>
    </xf>
    <xf numFmtId="0" fontId="13" fillId="3" borderId="6" xfId="12" applyFont="1" applyFill="1" applyBorder="1">
      <alignment horizontal="left" vertical="center" indent="2"/>
    </xf>
    <xf numFmtId="0" fontId="13" fillId="3" borderId="6" xfId="11" applyFont="1" applyFill="1" applyBorder="1" applyAlignment="1">
      <alignment vertical="center"/>
    </xf>
    <xf numFmtId="9" fontId="1" fillId="3" borderId="6" xfId="2" applyFont="1" applyFill="1" applyBorder="1" applyAlignment="1">
      <alignment horizontal="center" vertical="center"/>
    </xf>
    <xf numFmtId="164" fontId="13" fillId="3" borderId="6" xfId="10" applyFont="1" applyFill="1" applyBorder="1">
      <alignment horizontal="center" vertical="center"/>
    </xf>
    <xf numFmtId="0" fontId="4" fillId="0" borderId="4" xfId="0" applyFont="1" applyBorder="1" applyAlignment="1">
      <alignment vertical="center"/>
    </xf>
    <xf numFmtId="0" fontId="13" fillId="3" borderId="7" xfId="12" applyFont="1" applyFill="1" applyBorder="1">
      <alignment horizontal="left" vertical="center" indent="2"/>
    </xf>
    <xf numFmtId="0" fontId="13" fillId="3" borderId="7" xfId="11" applyFont="1" applyFill="1" applyBorder="1" applyAlignment="1">
      <alignment vertical="center"/>
    </xf>
    <xf numFmtId="9" fontId="1" fillId="3" borderId="7" xfId="2" applyFont="1" applyFill="1" applyBorder="1" applyAlignment="1">
      <alignment horizontal="center" vertical="center"/>
    </xf>
    <xf numFmtId="164" fontId="13" fillId="3" borderId="7" xfId="10" applyFont="1" applyFill="1" applyBorder="1">
      <alignment horizontal="center" vertical="center"/>
    </xf>
    <xf numFmtId="0" fontId="4" fillId="0" borderId="4" xfId="0" applyFont="1" applyBorder="1" applyAlignment="1">
      <alignment horizontal="right" vertical="center"/>
    </xf>
    <xf numFmtId="0" fontId="17" fillId="7" borderId="0" xfId="0" applyFont="1" applyFill="1" applyAlignment="1">
      <alignment horizontal="left" vertical="center" indent="1"/>
    </xf>
    <xf numFmtId="0" fontId="13" fillId="7" borderId="0" xfId="11" applyFont="1" applyFill="1" applyBorder="1" applyAlignment="1">
      <alignment vertical="center"/>
    </xf>
    <xf numFmtId="9" fontId="1" fillId="7" borderId="0" xfId="2" applyFont="1" applyFill="1" applyBorder="1" applyAlignment="1">
      <alignment horizontal="center" vertical="center"/>
    </xf>
    <xf numFmtId="164" fontId="13"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3" fillId="4" borderId="5" xfId="12" applyFont="1" applyFill="1" applyBorder="1">
      <alignment horizontal="left" vertical="center" indent="2"/>
    </xf>
    <xf numFmtId="0" fontId="13" fillId="4" borderId="5" xfId="11" applyFont="1" applyFill="1" applyBorder="1" applyAlignment="1">
      <alignment vertical="center"/>
    </xf>
    <xf numFmtId="9" fontId="1" fillId="4" borderId="5" xfId="2" applyFont="1" applyFill="1" applyBorder="1" applyAlignment="1">
      <alignment horizontal="center" vertical="center"/>
    </xf>
    <xf numFmtId="164" fontId="13" fillId="4" borderId="5" xfId="10" applyFont="1" applyFill="1" applyBorder="1">
      <alignment horizontal="center" vertical="center"/>
    </xf>
    <xf numFmtId="0" fontId="17" fillId="8" borderId="0" xfId="0" applyFont="1" applyFill="1" applyAlignment="1">
      <alignment horizontal="left" vertical="center" indent="1"/>
    </xf>
    <xf numFmtId="0" fontId="13" fillId="8" borderId="0" xfId="11" applyFont="1" applyFill="1" applyBorder="1" applyAlignment="1">
      <alignment vertical="center"/>
    </xf>
    <xf numFmtId="9" fontId="1" fillId="8" borderId="0" xfId="2" applyFont="1" applyFill="1" applyBorder="1" applyAlignment="1">
      <alignment horizontal="center" vertical="center"/>
    </xf>
    <xf numFmtId="164" fontId="13"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0" xfId="0" applyFont="1" applyBorder="1" applyAlignment="1">
      <alignment vertical="center"/>
    </xf>
    <xf numFmtId="0" fontId="13" fillId="5" borderId="8" xfId="12" applyFont="1" applyFill="1" applyBorder="1">
      <alignment horizontal="left" vertical="center" indent="2"/>
    </xf>
    <xf numFmtId="0" fontId="13" fillId="5" borderId="8" xfId="11" applyFont="1" applyFill="1" applyBorder="1" applyAlignment="1">
      <alignment vertical="center"/>
    </xf>
    <xf numFmtId="9" fontId="1" fillId="5" borderId="8" xfId="2" applyFont="1" applyFill="1" applyBorder="1" applyAlignment="1">
      <alignment horizontal="center" vertical="center"/>
    </xf>
    <xf numFmtId="164" fontId="13" fillId="5" borderId="8" xfId="10" applyFont="1" applyFill="1" applyBorder="1">
      <alignment horizontal="center" vertical="center"/>
    </xf>
    <xf numFmtId="0" fontId="4" fillId="0" borderId="9" xfId="0" applyFont="1" applyBorder="1" applyAlignment="1">
      <alignment vertical="center"/>
    </xf>
    <xf numFmtId="0" fontId="19" fillId="0" borderId="0" xfId="5" applyFont="1" applyAlignment="1">
      <alignment horizontal="left"/>
    </xf>
    <xf numFmtId="0" fontId="20" fillId="0" borderId="0" xfId="6" applyFont="1" applyAlignment="1">
      <alignment horizontal="left" vertical="center" indent="1"/>
    </xf>
    <xf numFmtId="0" fontId="20" fillId="0" borderId="0" xfId="7" applyFont="1" applyAlignment="1">
      <alignment horizontal="left" vertical="center" indent="1"/>
    </xf>
    <xf numFmtId="166" fontId="13" fillId="2" borderId="12" xfId="0" applyNumberFormat="1" applyFont="1" applyFill="1" applyBorder="1" applyAlignment="1">
      <alignment horizontal="center" vertical="center" wrapText="1"/>
    </xf>
    <xf numFmtId="166" fontId="13" fillId="2" borderId="18" xfId="0" applyNumberFormat="1" applyFont="1" applyFill="1" applyBorder="1" applyAlignment="1">
      <alignment horizontal="center" vertical="center" wrapText="1"/>
    </xf>
    <xf numFmtId="166" fontId="13" fillId="2" borderId="17" xfId="0" applyNumberFormat="1" applyFont="1" applyFill="1" applyBorder="1" applyAlignment="1">
      <alignment horizontal="center" vertical="center" wrapText="1"/>
    </xf>
    <xf numFmtId="0" fontId="14" fillId="9" borderId="15" xfId="0" applyFont="1" applyFill="1" applyBorder="1" applyAlignment="1">
      <alignment horizontal="center" vertical="center"/>
    </xf>
    <xf numFmtId="0" fontId="4" fillId="2" borderId="20" xfId="0" applyFont="1" applyFill="1" applyBorder="1"/>
    <xf numFmtId="0" fontId="21" fillId="0" borderId="0" xfId="0" applyFont="1" applyAlignment="1">
      <alignment horizontal="left"/>
    </xf>
    <xf numFmtId="0" fontId="18" fillId="0" borderId="0" xfId="0" applyFont="1"/>
    <xf numFmtId="165" fontId="21" fillId="0" borderId="0" xfId="9" applyFont="1" applyBorder="1" applyAlignment="1">
      <alignment horizontal="left"/>
    </xf>
    <xf numFmtId="0" fontId="20" fillId="0" borderId="0" xfId="8" applyFont="1" applyAlignment="1">
      <alignment horizontal="left"/>
    </xf>
    <xf numFmtId="0" fontId="4" fillId="0" borderId="0" xfId="0" applyFont="1"/>
    <xf numFmtId="0" fontId="7" fillId="0" borderId="0" xfId="3" applyAlignment="1">
      <alignment wrapText="1"/>
    </xf>
    <xf numFmtId="0" fontId="14" fillId="9" borderId="15" xfId="0" applyFont="1" applyFill="1" applyBorder="1" applyAlignment="1">
      <alignment horizontal="left" vertical="center" indent="1"/>
    </xf>
    <xf numFmtId="0" fontId="4" fillId="2" borderId="20" xfId="0" applyFont="1" applyFill="1" applyBorder="1" applyAlignment="1">
      <alignment horizontal="left" indent="1"/>
    </xf>
    <xf numFmtId="0" fontId="14" fillId="9" borderId="15" xfId="0" applyFont="1" applyFill="1" applyBorder="1" applyAlignment="1">
      <alignment vertical="center"/>
    </xf>
    <xf numFmtId="0" fontId="17" fillId="5" borderId="0" xfId="0" applyFont="1" applyFill="1" applyAlignment="1">
      <alignment horizontal="left" vertical="center" indent="1"/>
    </xf>
    <xf numFmtId="0" fontId="13" fillId="5" borderId="0" xfId="11" applyFont="1" applyFill="1" applyBorder="1" applyAlignment="1">
      <alignment vertical="center"/>
    </xf>
    <xf numFmtId="9" fontId="1" fillId="5" borderId="0" xfId="2" applyFont="1" applyFill="1" applyBorder="1" applyAlignment="1">
      <alignment horizontal="center" vertical="center"/>
    </xf>
    <xf numFmtId="164" fontId="13" fillId="5" borderId="0" xfId="0" applyNumberFormat="1" applyFont="1" applyFill="1" applyAlignment="1">
      <alignment horizontal="center" vertical="center"/>
    </xf>
    <xf numFmtId="164" fontId="1" fillId="5" borderId="0" xfId="0" applyNumberFormat="1" applyFont="1" applyFill="1" applyAlignment="1">
      <alignment horizontal="center" vertical="center"/>
    </xf>
    <xf numFmtId="0" fontId="4" fillId="0" borderId="4" xfId="0" applyFont="1" applyFill="1" applyBorder="1" applyAlignment="1">
      <alignment vertical="center"/>
    </xf>
    <xf numFmtId="0" fontId="0" fillId="0" borderId="4" xfId="0" applyFont="1" applyFill="1" applyBorder="1" applyAlignment="1">
      <alignment vertical="center"/>
    </xf>
    <xf numFmtId="0" fontId="4" fillId="11" borderId="4" xfId="0" applyFont="1" applyFill="1" applyBorder="1" applyAlignment="1" applyProtection="1">
      <alignment vertical="center"/>
      <protection locked="0"/>
    </xf>
    <xf numFmtId="0" fontId="4" fillId="0" borderId="4" xfId="0" applyFont="1" applyFill="1" applyBorder="1" applyAlignment="1" applyProtection="1">
      <alignment vertical="center"/>
      <protection locked="0"/>
    </xf>
    <xf numFmtId="0" fontId="4" fillId="0" borderId="11" xfId="0" applyFont="1" applyBorder="1" applyAlignment="1" applyProtection="1">
      <alignment vertical="center"/>
      <protection locked="0"/>
    </xf>
    <xf numFmtId="0" fontId="4" fillId="0" borderId="4" xfId="0" applyFont="1" applyBorder="1" applyAlignment="1" applyProtection="1">
      <alignment vertical="center"/>
      <protection locked="0"/>
    </xf>
    <xf numFmtId="0" fontId="4" fillId="0" borderId="4" xfId="0" applyFont="1" applyBorder="1" applyAlignment="1" applyProtection="1">
      <alignment horizontal="right" vertical="center"/>
      <protection locked="0"/>
    </xf>
    <xf numFmtId="0" fontId="4" fillId="12" borderId="4" xfId="0" applyFont="1" applyFill="1" applyBorder="1" applyAlignment="1" applyProtection="1">
      <alignment vertical="center"/>
      <protection locked="0"/>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6">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5"/>
      <tableStyleElement type="headerRow" dxfId="14"/>
      <tableStyleElement type="totalRow" dxfId="13"/>
      <tableStyleElement type="firstColumn" dxfId="12"/>
      <tableStyleElement type="lastColumn" dxfId="11"/>
      <tableStyleElement type="firstRowStripe" dxfId="10"/>
      <tableStyleElement type="secondRowStripe" dxfId="9"/>
      <tableStyleElement type="firstColumnStripe" dxfId="8"/>
      <tableStyleElement type="secondColumn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3969AD"/>
      <color rgb="FFC0C0C0"/>
      <color rgb="FF4A6F9C"/>
      <color rgb="FF42648A"/>
      <color rgb="FF427FC2"/>
      <color rgb="FF215881"/>
      <color rgb="FF969696"/>
      <color rgb="FF44678E"/>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8"/>
  <sheetViews>
    <sheetView showGridLines="0" tabSelected="1" showRuler="0" topLeftCell="A2" zoomScale="150" zoomScaleNormal="100" zoomScalePageLayoutView="70" workbookViewId="0">
      <selection activeCell="B11" sqref="B11"/>
    </sheetView>
  </sheetViews>
  <sheetFormatPr baseColWidth="10" defaultColWidth="8.6640625" defaultRowHeight="30" customHeight="1" x14ac:dyDescent="0.15"/>
  <cols>
    <col min="1" max="1" width="2.6640625" style="4" customWidth="1"/>
    <col min="2" max="2" width="50.1640625" customWidth="1"/>
    <col min="3" max="3" width="16.6640625" customWidth="1"/>
    <col min="4" max="4" width="10.6640625" customWidth="1"/>
    <col min="5" max="5" width="10.6640625" style="2" customWidth="1"/>
    <col min="6" max="6" width="10.6640625" customWidth="1"/>
    <col min="7" max="7" width="2.6640625" customWidth="1"/>
    <col min="8" max="8" width="6" hidden="1" customWidth="1"/>
    <col min="9" max="65" width="2.6640625" customWidth="1"/>
  </cols>
  <sheetData>
    <row r="1" spans="1:64" ht="90" customHeight="1" x14ac:dyDescent="0.85">
      <c r="A1" s="5"/>
      <c r="B1" s="66" t="s">
        <v>15</v>
      </c>
      <c r="C1" s="7"/>
      <c r="D1" s="8"/>
      <c r="E1" s="9"/>
      <c r="F1" s="10"/>
      <c r="H1" s="1"/>
      <c r="I1" s="77" t="s">
        <v>0</v>
      </c>
      <c r="J1" s="78"/>
      <c r="K1" s="78"/>
      <c r="L1" s="78"/>
      <c r="M1" s="78"/>
      <c r="N1" s="78"/>
      <c r="O1" s="78"/>
      <c r="P1" s="13"/>
      <c r="Q1" s="76">
        <f>DATE(2025,2,14)</f>
        <v>45702</v>
      </c>
      <c r="R1" s="75"/>
      <c r="S1" s="75"/>
      <c r="T1" s="75"/>
      <c r="U1" s="75"/>
      <c r="V1" s="75"/>
      <c r="W1" s="75"/>
      <c r="X1" s="75"/>
      <c r="Y1" s="75"/>
      <c r="Z1" s="75"/>
    </row>
    <row r="2" spans="1:64" ht="30" customHeight="1" x14ac:dyDescent="0.4">
      <c r="B2" s="67"/>
      <c r="C2" s="68"/>
      <c r="D2" s="11"/>
      <c r="E2" s="12"/>
      <c r="F2" s="11"/>
      <c r="I2" s="77" t="s">
        <v>1</v>
      </c>
      <c r="J2" s="78"/>
      <c r="K2" s="78"/>
      <c r="L2" s="78"/>
      <c r="M2" s="78"/>
      <c r="N2" s="78"/>
      <c r="O2" s="78"/>
      <c r="P2" s="13"/>
      <c r="Q2" s="74">
        <v>1</v>
      </c>
      <c r="R2" s="75"/>
      <c r="S2" s="75"/>
      <c r="T2" s="75"/>
      <c r="U2" s="75"/>
      <c r="V2" s="75"/>
      <c r="W2" s="75"/>
      <c r="X2" s="75"/>
      <c r="Y2" s="75"/>
      <c r="Z2" s="75"/>
    </row>
    <row r="3" spans="1:64" s="15" customFormat="1" ht="30" customHeight="1" x14ac:dyDescent="0.15">
      <c r="A3" s="4"/>
      <c r="B3" s="14"/>
      <c r="D3" s="16"/>
      <c r="E3" s="17"/>
    </row>
    <row r="4" spans="1:64" s="15" customFormat="1" ht="30" customHeight="1" x14ac:dyDescent="0.15">
      <c r="A4" s="5"/>
      <c r="B4" s="18"/>
      <c r="E4" s="19"/>
      <c r="I4" s="71">
        <f>I5</f>
        <v>45698</v>
      </c>
      <c r="J4" s="69"/>
      <c r="K4" s="69"/>
      <c r="L4" s="69"/>
      <c r="M4" s="69"/>
      <c r="N4" s="69"/>
      <c r="O4" s="69"/>
      <c r="P4" s="69">
        <f>P5</f>
        <v>45705</v>
      </c>
      <c r="Q4" s="69"/>
      <c r="R4" s="69"/>
      <c r="S4" s="69"/>
      <c r="T4" s="69"/>
      <c r="U4" s="69"/>
      <c r="V4" s="69"/>
      <c r="W4" s="69">
        <f>W5</f>
        <v>45712</v>
      </c>
      <c r="X4" s="69"/>
      <c r="Y4" s="69"/>
      <c r="Z4" s="69"/>
      <c r="AA4" s="69"/>
      <c r="AB4" s="69"/>
      <c r="AC4" s="69"/>
      <c r="AD4" s="69">
        <f>AD5</f>
        <v>45719</v>
      </c>
      <c r="AE4" s="69"/>
      <c r="AF4" s="69"/>
      <c r="AG4" s="69"/>
      <c r="AH4" s="69"/>
      <c r="AI4" s="69"/>
      <c r="AJ4" s="69"/>
      <c r="AK4" s="69">
        <f>AK5</f>
        <v>45726</v>
      </c>
      <c r="AL4" s="69"/>
      <c r="AM4" s="69"/>
      <c r="AN4" s="69"/>
      <c r="AO4" s="69"/>
      <c r="AP4" s="69"/>
      <c r="AQ4" s="69"/>
      <c r="AR4" s="69">
        <f>AR5</f>
        <v>45733</v>
      </c>
      <c r="AS4" s="69"/>
      <c r="AT4" s="69"/>
      <c r="AU4" s="69"/>
      <c r="AV4" s="69"/>
      <c r="AW4" s="69"/>
      <c r="AX4" s="69"/>
      <c r="AY4" s="69">
        <f>AY5</f>
        <v>45740</v>
      </c>
      <c r="AZ4" s="69"/>
      <c r="BA4" s="69"/>
      <c r="BB4" s="69"/>
      <c r="BC4" s="69"/>
      <c r="BD4" s="69"/>
      <c r="BE4" s="69"/>
      <c r="BF4" s="69">
        <f>BF5</f>
        <v>45747</v>
      </c>
      <c r="BG4" s="69"/>
      <c r="BH4" s="69"/>
      <c r="BI4" s="69"/>
      <c r="BJ4" s="69"/>
      <c r="BK4" s="69"/>
      <c r="BL4" s="70"/>
    </row>
    <row r="5" spans="1:64" s="15" customFormat="1" ht="15" customHeight="1" x14ac:dyDescent="0.15">
      <c r="A5" s="79"/>
      <c r="B5" s="80" t="s">
        <v>2</v>
      </c>
      <c r="C5" s="82" t="s">
        <v>3</v>
      </c>
      <c r="D5" s="72" t="s">
        <v>4</v>
      </c>
      <c r="E5" s="72" t="s">
        <v>5</v>
      </c>
      <c r="F5" s="72" t="s">
        <v>6</v>
      </c>
      <c r="I5" s="20">
        <f>Project_Start-WEEKDAY(Project_Start,1)+2+7*(Display_Week-1)</f>
        <v>45698</v>
      </c>
      <c r="J5" s="20">
        <f>I5+1</f>
        <v>45699</v>
      </c>
      <c r="K5" s="20">
        <f t="shared" ref="K5:AX5" si="0">J5+1</f>
        <v>45700</v>
      </c>
      <c r="L5" s="20">
        <f t="shared" si="0"/>
        <v>45701</v>
      </c>
      <c r="M5" s="20">
        <f t="shared" si="0"/>
        <v>45702</v>
      </c>
      <c r="N5" s="20">
        <f t="shared" si="0"/>
        <v>45703</v>
      </c>
      <c r="O5" s="21">
        <f t="shared" si="0"/>
        <v>45704</v>
      </c>
      <c r="P5" s="22">
        <f>O5+1</f>
        <v>45705</v>
      </c>
      <c r="Q5" s="20">
        <f>P5+1</f>
        <v>45706</v>
      </c>
      <c r="R5" s="20">
        <f t="shared" si="0"/>
        <v>45707</v>
      </c>
      <c r="S5" s="20">
        <f t="shared" si="0"/>
        <v>45708</v>
      </c>
      <c r="T5" s="20">
        <f t="shared" si="0"/>
        <v>45709</v>
      </c>
      <c r="U5" s="20">
        <f t="shared" si="0"/>
        <v>45710</v>
      </c>
      <c r="V5" s="21">
        <f t="shared" si="0"/>
        <v>45711</v>
      </c>
      <c r="W5" s="22">
        <f>V5+1</f>
        <v>45712</v>
      </c>
      <c r="X5" s="20">
        <f>W5+1</f>
        <v>45713</v>
      </c>
      <c r="Y5" s="20">
        <f t="shared" si="0"/>
        <v>45714</v>
      </c>
      <c r="Z5" s="20">
        <f t="shared" si="0"/>
        <v>45715</v>
      </c>
      <c r="AA5" s="20">
        <f t="shared" si="0"/>
        <v>45716</v>
      </c>
      <c r="AB5" s="20">
        <f t="shared" si="0"/>
        <v>45717</v>
      </c>
      <c r="AC5" s="21">
        <f t="shared" si="0"/>
        <v>45718</v>
      </c>
      <c r="AD5" s="22">
        <f>AC5+1</f>
        <v>45719</v>
      </c>
      <c r="AE5" s="20">
        <f>AD5+1</f>
        <v>45720</v>
      </c>
      <c r="AF5" s="20">
        <f t="shared" si="0"/>
        <v>45721</v>
      </c>
      <c r="AG5" s="20">
        <f t="shared" si="0"/>
        <v>45722</v>
      </c>
      <c r="AH5" s="20">
        <f t="shared" si="0"/>
        <v>45723</v>
      </c>
      <c r="AI5" s="20">
        <f t="shared" si="0"/>
        <v>45724</v>
      </c>
      <c r="AJ5" s="21">
        <f t="shared" si="0"/>
        <v>45725</v>
      </c>
      <c r="AK5" s="22">
        <f>AJ5+1</f>
        <v>45726</v>
      </c>
      <c r="AL5" s="20">
        <f>AK5+1</f>
        <v>45727</v>
      </c>
      <c r="AM5" s="20">
        <f t="shared" si="0"/>
        <v>45728</v>
      </c>
      <c r="AN5" s="20">
        <f t="shared" si="0"/>
        <v>45729</v>
      </c>
      <c r="AO5" s="20">
        <f t="shared" si="0"/>
        <v>45730</v>
      </c>
      <c r="AP5" s="20">
        <f t="shared" si="0"/>
        <v>45731</v>
      </c>
      <c r="AQ5" s="21">
        <f t="shared" si="0"/>
        <v>45732</v>
      </c>
      <c r="AR5" s="22">
        <f>AQ5+1</f>
        <v>45733</v>
      </c>
      <c r="AS5" s="20">
        <f>AR5+1</f>
        <v>45734</v>
      </c>
      <c r="AT5" s="20">
        <f t="shared" si="0"/>
        <v>45735</v>
      </c>
      <c r="AU5" s="20">
        <f t="shared" si="0"/>
        <v>45736</v>
      </c>
      <c r="AV5" s="20">
        <f t="shared" si="0"/>
        <v>45737</v>
      </c>
      <c r="AW5" s="20">
        <f t="shared" si="0"/>
        <v>45738</v>
      </c>
      <c r="AX5" s="21">
        <f t="shared" si="0"/>
        <v>45739</v>
      </c>
      <c r="AY5" s="22">
        <f>AX5+1</f>
        <v>45740</v>
      </c>
      <c r="AZ5" s="20">
        <f>AY5+1</f>
        <v>45741</v>
      </c>
      <c r="BA5" s="20">
        <f t="shared" ref="BA5:BE5" si="1">AZ5+1</f>
        <v>45742</v>
      </c>
      <c r="BB5" s="20">
        <f t="shared" si="1"/>
        <v>45743</v>
      </c>
      <c r="BC5" s="20">
        <f t="shared" si="1"/>
        <v>45744</v>
      </c>
      <c r="BD5" s="20">
        <f t="shared" si="1"/>
        <v>45745</v>
      </c>
      <c r="BE5" s="21">
        <f t="shared" si="1"/>
        <v>45746</v>
      </c>
      <c r="BF5" s="22">
        <f>BE5+1</f>
        <v>45747</v>
      </c>
      <c r="BG5" s="20">
        <f>BF5+1</f>
        <v>45748</v>
      </c>
      <c r="BH5" s="20">
        <f t="shared" ref="BH5:BL5" si="2">BG5+1</f>
        <v>45749</v>
      </c>
      <c r="BI5" s="20">
        <f t="shared" si="2"/>
        <v>45750</v>
      </c>
      <c r="BJ5" s="20">
        <f t="shared" si="2"/>
        <v>45751</v>
      </c>
      <c r="BK5" s="20">
        <f t="shared" si="2"/>
        <v>45752</v>
      </c>
      <c r="BL5" s="20">
        <f t="shared" si="2"/>
        <v>45753</v>
      </c>
    </row>
    <row r="6" spans="1:64" s="15" customFormat="1" ht="15" customHeight="1" thickBot="1" x14ac:dyDescent="0.2">
      <c r="A6" s="79"/>
      <c r="B6" s="81"/>
      <c r="C6" s="73"/>
      <c r="D6" s="73"/>
      <c r="E6" s="73"/>
      <c r="F6" s="73"/>
      <c r="I6" s="23" t="str">
        <f t="shared" ref="I6:AN6" si="3">LEFT(TEXT(I5,"ddd"),1)</f>
        <v>M</v>
      </c>
      <c r="J6" s="24" t="str">
        <f t="shared" si="3"/>
        <v>T</v>
      </c>
      <c r="K6" s="24" t="str">
        <f t="shared" si="3"/>
        <v>W</v>
      </c>
      <c r="L6" s="24" t="str">
        <f t="shared" si="3"/>
        <v>T</v>
      </c>
      <c r="M6" s="24" t="str">
        <f t="shared" si="3"/>
        <v>F</v>
      </c>
      <c r="N6" s="24" t="str">
        <f t="shared" si="3"/>
        <v>S</v>
      </c>
      <c r="O6" s="24" t="str">
        <f t="shared" si="3"/>
        <v>S</v>
      </c>
      <c r="P6" s="24" t="str">
        <f t="shared" si="3"/>
        <v>M</v>
      </c>
      <c r="Q6" s="24" t="str">
        <f t="shared" si="3"/>
        <v>T</v>
      </c>
      <c r="R6" s="24" t="str">
        <f t="shared" si="3"/>
        <v>W</v>
      </c>
      <c r="S6" s="24" t="str">
        <f t="shared" si="3"/>
        <v>T</v>
      </c>
      <c r="T6" s="24" t="str">
        <f t="shared" si="3"/>
        <v>F</v>
      </c>
      <c r="U6" s="24" t="str">
        <f t="shared" si="3"/>
        <v>S</v>
      </c>
      <c r="V6" s="24" t="str">
        <f t="shared" si="3"/>
        <v>S</v>
      </c>
      <c r="W6" s="24" t="str">
        <f t="shared" si="3"/>
        <v>M</v>
      </c>
      <c r="X6" s="24" t="str">
        <f t="shared" si="3"/>
        <v>T</v>
      </c>
      <c r="Y6" s="24" t="str">
        <f t="shared" si="3"/>
        <v>W</v>
      </c>
      <c r="Z6" s="24" t="str">
        <f t="shared" si="3"/>
        <v>T</v>
      </c>
      <c r="AA6" s="24" t="str">
        <f t="shared" si="3"/>
        <v>F</v>
      </c>
      <c r="AB6" s="24" t="str">
        <f t="shared" si="3"/>
        <v>S</v>
      </c>
      <c r="AC6" s="24" t="str">
        <f t="shared" si="3"/>
        <v>S</v>
      </c>
      <c r="AD6" s="24" t="str">
        <f t="shared" si="3"/>
        <v>M</v>
      </c>
      <c r="AE6" s="24" t="str">
        <f t="shared" si="3"/>
        <v>T</v>
      </c>
      <c r="AF6" s="24" t="str">
        <f t="shared" si="3"/>
        <v>W</v>
      </c>
      <c r="AG6" s="24" t="str">
        <f t="shared" si="3"/>
        <v>T</v>
      </c>
      <c r="AH6" s="24" t="str">
        <f t="shared" si="3"/>
        <v>F</v>
      </c>
      <c r="AI6" s="24" t="str">
        <f t="shared" si="3"/>
        <v>S</v>
      </c>
      <c r="AJ6" s="24" t="str">
        <f t="shared" si="3"/>
        <v>S</v>
      </c>
      <c r="AK6" s="24" t="str">
        <f t="shared" si="3"/>
        <v>M</v>
      </c>
      <c r="AL6" s="24" t="str">
        <f t="shared" si="3"/>
        <v>T</v>
      </c>
      <c r="AM6" s="24" t="str">
        <f t="shared" si="3"/>
        <v>W</v>
      </c>
      <c r="AN6" s="24" t="str">
        <f t="shared" si="3"/>
        <v>T</v>
      </c>
      <c r="AO6" s="24" t="str">
        <f t="shared" ref="AO6:BL6" si="4">LEFT(TEXT(AO5,"ddd"),1)</f>
        <v>F</v>
      </c>
      <c r="AP6" s="24" t="str">
        <f t="shared" si="4"/>
        <v>S</v>
      </c>
      <c r="AQ6" s="24" t="str">
        <f t="shared" si="4"/>
        <v>S</v>
      </c>
      <c r="AR6" s="24" t="str">
        <f t="shared" si="4"/>
        <v>M</v>
      </c>
      <c r="AS6" s="24" t="str">
        <f t="shared" si="4"/>
        <v>T</v>
      </c>
      <c r="AT6" s="24" t="str">
        <f t="shared" si="4"/>
        <v>W</v>
      </c>
      <c r="AU6" s="24" t="str">
        <f t="shared" si="4"/>
        <v>T</v>
      </c>
      <c r="AV6" s="24" t="str">
        <f t="shared" si="4"/>
        <v>F</v>
      </c>
      <c r="AW6" s="24" t="str">
        <f t="shared" si="4"/>
        <v>S</v>
      </c>
      <c r="AX6" s="24" t="str">
        <f t="shared" si="4"/>
        <v>S</v>
      </c>
      <c r="AY6" s="24" t="str">
        <f t="shared" si="4"/>
        <v>M</v>
      </c>
      <c r="AZ6" s="24" t="str">
        <f t="shared" si="4"/>
        <v>T</v>
      </c>
      <c r="BA6" s="24" t="str">
        <f t="shared" si="4"/>
        <v>W</v>
      </c>
      <c r="BB6" s="24" t="str">
        <f t="shared" si="4"/>
        <v>T</v>
      </c>
      <c r="BC6" s="24" t="str">
        <f t="shared" si="4"/>
        <v>F</v>
      </c>
      <c r="BD6" s="24" t="str">
        <f t="shared" si="4"/>
        <v>S</v>
      </c>
      <c r="BE6" s="24" t="str">
        <f t="shared" si="4"/>
        <v>S</v>
      </c>
      <c r="BF6" s="24" t="str">
        <f t="shared" si="4"/>
        <v>M</v>
      </c>
      <c r="BG6" s="24" t="str">
        <f t="shared" si="4"/>
        <v>T</v>
      </c>
      <c r="BH6" s="24" t="str">
        <f t="shared" si="4"/>
        <v>W</v>
      </c>
      <c r="BI6" s="24" t="str">
        <f t="shared" si="4"/>
        <v>T</v>
      </c>
      <c r="BJ6" s="24" t="str">
        <f t="shared" si="4"/>
        <v>F</v>
      </c>
      <c r="BK6" s="24" t="str">
        <f t="shared" si="4"/>
        <v>S</v>
      </c>
      <c r="BL6" s="25" t="str">
        <f t="shared" si="4"/>
        <v>S</v>
      </c>
    </row>
    <row r="7" spans="1:64" s="15" customFormat="1" ht="30" hidden="1" customHeight="1" thickBot="1" x14ac:dyDescent="0.2">
      <c r="A7" s="4" t="s">
        <v>7</v>
      </c>
      <c r="B7" s="26"/>
      <c r="C7" s="27"/>
      <c r="D7" s="26"/>
      <c r="E7" s="26"/>
      <c r="F7" s="26"/>
      <c r="H7" s="15" t="str">
        <f>IF(OR(ISBLANK(task_start),ISBLANK(task_end)),"",task_end-task_start+1)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64" s="35" customFormat="1" ht="30" customHeight="1" thickBot="1" x14ac:dyDescent="0.2">
      <c r="A8" s="5"/>
      <c r="B8" s="29" t="s">
        <v>21</v>
      </c>
      <c r="C8" s="30"/>
      <c r="D8" s="31"/>
      <c r="E8" s="32"/>
      <c r="F8" s="33"/>
      <c r="G8" s="6"/>
      <c r="H8" s="3" t="str">
        <f t="shared" ref="H8:H31" si="5">IF(OR(ISBLANK(task_start),ISBLANK(task_end)),"",task_end-task_start+1)</f>
        <v/>
      </c>
      <c r="I8" s="34"/>
      <c r="J8" s="34"/>
      <c r="K8" s="34"/>
      <c r="L8" s="34"/>
      <c r="M8" s="34"/>
      <c r="N8" s="34"/>
      <c r="O8" s="34"/>
      <c r="P8" s="34"/>
      <c r="Q8" s="34"/>
      <c r="R8" s="34"/>
      <c r="S8" s="92"/>
      <c r="T8" s="92"/>
      <c r="U8" s="92"/>
      <c r="V8" s="92"/>
      <c r="W8" s="92"/>
      <c r="X8" s="92"/>
      <c r="Y8" s="92"/>
      <c r="Z8" s="92"/>
      <c r="AA8" s="92"/>
      <c r="AB8" s="92"/>
      <c r="AC8" s="92"/>
      <c r="AD8" s="92"/>
      <c r="AE8" s="92"/>
      <c r="AF8" s="92"/>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row>
    <row r="9" spans="1:64" s="35" customFormat="1" ht="30" customHeight="1" thickBot="1" x14ac:dyDescent="0.2">
      <c r="A9" s="5"/>
      <c r="B9" s="36" t="s">
        <v>20</v>
      </c>
      <c r="C9" s="37" t="s">
        <v>8</v>
      </c>
      <c r="D9" s="38">
        <v>1</v>
      </c>
      <c r="E9" s="39">
        <v>45708</v>
      </c>
      <c r="F9" s="39">
        <v>45715</v>
      </c>
      <c r="G9" s="6"/>
      <c r="H9" s="3">
        <f t="shared" si="5"/>
        <v>8</v>
      </c>
      <c r="I9" s="40"/>
      <c r="J9" s="40"/>
      <c r="K9" s="40"/>
      <c r="L9" s="40"/>
      <c r="M9" s="40"/>
      <c r="N9" s="40"/>
      <c r="O9" s="40"/>
      <c r="P9" s="89"/>
      <c r="Q9" s="88"/>
      <c r="R9" s="40"/>
      <c r="S9" s="95"/>
      <c r="T9" s="93"/>
      <c r="U9" s="91"/>
      <c r="V9" s="93"/>
      <c r="W9" s="93"/>
      <c r="X9" s="93"/>
      <c r="Y9" s="93"/>
      <c r="Z9" s="90"/>
      <c r="AA9" s="91"/>
      <c r="AB9" s="91"/>
      <c r="AC9" s="91"/>
      <c r="AD9" s="93"/>
      <c r="AE9" s="93"/>
      <c r="AF9" s="93"/>
      <c r="AG9" s="40"/>
      <c r="AH9" s="40"/>
      <c r="AI9" s="40"/>
      <c r="AJ9" s="40"/>
      <c r="AK9" s="40"/>
      <c r="AL9" s="40"/>
      <c r="AM9" s="40"/>
      <c r="AN9" s="40"/>
      <c r="AO9" s="40"/>
      <c r="AP9" s="40"/>
      <c r="AQ9" s="40"/>
      <c r="AR9" s="40"/>
      <c r="AS9" s="40"/>
      <c r="AT9" s="40"/>
      <c r="AU9" s="40"/>
      <c r="AV9" s="40"/>
      <c r="AW9" s="40"/>
      <c r="AX9" s="40"/>
      <c r="AY9" s="40"/>
      <c r="AZ9" s="40"/>
      <c r="BA9" s="40"/>
      <c r="BB9" s="40"/>
      <c r="BC9" s="40"/>
      <c r="BD9" s="40"/>
      <c r="BE9" s="40"/>
      <c r="BF9" s="40"/>
      <c r="BG9" s="40"/>
      <c r="BH9" s="40"/>
      <c r="BI9" s="40"/>
      <c r="BJ9" s="40"/>
      <c r="BK9" s="40"/>
      <c r="BL9" s="40"/>
    </row>
    <row r="10" spans="1:64" s="35" customFormat="1" ht="30" customHeight="1" thickBot="1" x14ac:dyDescent="0.2">
      <c r="A10" s="5"/>
      <c r="B10" s="41" t="s">
        <v>19</v>
      </c>
      <c r="C10" s="42" t="s">
        <v>9</v>
      </c>
      <c r="D10" s="43">
        <v>1</v>
      </c>
      <c r="E10" s="44">
        <v>45716</v>
      </c>
      <c r="F10" s="44">
        <f>E10+2</f>
        <v>45718</v>
      </c>
      <c r="G10" s="6"/>
      <c r="H10" s="3">
        <f t="shared" si="5"/>
        <v>3</v>
      </c>
      <c r="I10" s="40"/>
      <c r="J10" s="40"/>
      <c r="K10" s="40"/>
      <c r="L10" s="40"/>
      <c r="M10" s="40"/>
      <c r="N10" s="40"/>
      <c r="O10" s="40"/>
      <c r="P10" s="40"/>
      <c r="Q10" s="40"/>
      <c r="R10" s="40"/>
      <c r="S10" s="93"/>
      <c r="T10" s="93"/>
      <c r="U10" s="94"/>
      <c r="V10" s="94"/>
      <c r="W10" s="93"/>
      <c r="X10" s="93"/>
      <c r="Y10" s="93"/>
      <c r="Z10" s="93"/>
      <c r="AA10" s="93"/>
      <c r="AB10" s="93"/>
      <c r="AC10" s="93"/>
      <c r="AD10" s="93"/>
      <c r="AE10" s="93"/>
      <c r="AF10" s="93"/>
      <c r="AG10" s="40"/>
      <c r="AH10" s="40"/>
      <c r="AI10" s="40"/>
      <c r="AJ10" s="40"/>
      <c r="AK10" s="40"/>
      <c r="AL10" s="40"/>
      <c r="AM10" s="40"/>
      <c r="AN10" s="40"/>
      <c r="AO10" s="40"/>
      <c r="AP10" s="40"/>
      <c r="AQ10" s="40"/>
      <c r="AR10" s="40"/>
      <c r="AS10" s="40"/>
      <c r="AT10" s="40"/>
      <c r="AU10" s="40"/>
      <c r="AV10" s="40"/>
      <c r="AW10" s="40"/>
      <c r="AX10" s="40"/>
      <c r="AY10" s="40"/>
      <c r="AZ10" s="40"/>
      <c r="BA10" s="40"/>
      <c r="BB10" s="40"/>
      <c r="BC10" s="40"/>
      <c r="BD10" s="40"/>
      <c r="BE10" s="40"/>
      <c r="BF10" s="40"/>
      <c r="BG10" s="40"/>
      <c r="BH10" s="40"/>
      <c r="BI10" s="40"/>
      <c r="BJ10" s="40"/>
      <c r="BK10" s="40"/>
      <c r="BL10" s="40"/>
    </row>
    <row r="11" spans="1:64" s="35" customFormat="1" ht="30" customHeight="1" thickBot="1" x14ac:dyDescent="0.2">
      <c r="A11" s="4"/>
      <c r="B11" s="41" t="s">
        <v>18</v>
      </c>
      <c r="C11" s="42" t="s">
        <v>10</v>
      </c>
      <c r="D11" s="43">
        <v>1</v>
      </c>
      <c r="E11" s="44">
        <v>45718</v>
      </c>
      <c r="F11" s="44">
        <v>45721</v>
      </c>
      <c r="G11" s="6"/>
      <c r="H11" s="3">
        <f t="shared" si="5"/>
        <v>4</v>
      </c>
      <c r="I11" s="40"/>
      <c r="J11" s="40"/>
      <c r="K11" s="40"/>
      <c r="L11" s="40"/>
      <c r="M11" s="40"/>
      <c r="N11" s="40"/>
      <c r="O11" s="40"/>
      <c r="P11" s="40"/>
      <c r="Q11" s="40"/>
      <c r="R11" s="40"/>
      <c r="S11" s="93"/>
      <c r="T11" s="93"/>
      <c r="U11" s="93"/>
      <c r="V11" s="93"/>
      <c r="W11" s="93"/>
      <c r="X11" s="93"/>
      <c r="Y11" s="93"/>
      <c r="Z11" s="93"/>
      <c r="AA11" s="93"/>
      <c r="AB11" s="93"/>
      <c r="AC11" s="93"/>
      <c r="AD11" s="93"/>
      <c r="AE11" s="93"/>
      <c r="AF11" s="93"/>
      <c r="AG11" s="40"/>
      <c r="AH11" s="40"/>
      <c r="AI11" s="40"/>
      <c r="AJ11" s="40"/>
      <c r="AK11" s="40"/>
      <c r="AL11" s="88"/>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c r="BL11" s="40"/>
    </row>
    <row r="12" spans="1:64" s="35" customFormat="1" ht="30" customHeight="1" thickBot="1" x14ac:dyDescent="0.2">
      <c r="A12" s="4"/>
      <c r="B12" s="41" t="s">
        <v>24</v>
      </c>
      <c r="C12" s="42" t="s">
        <v>11</v>
      </c>
      <c r="D12" s="43">
        <v>1</v>
      </c>
      <c r="E12" s="44">
        <v>45709</v>
      </c>
      <c r="F12" s="44">
        <v>45716</v>
      </c>
      <c r="G12" s="6"/>
      <c r="H12" s="3">
        <f t="shared" si="5"/>
        <v>8</v>
      </c>
      <c r="I12" s="40"/>
      <c r="J12" s="40"/>
      <c r="K12" s="40"/>
      <c r="L12" s="40"/>
      <c r="M12" s="40"/>
      <c r="N12" s="40"/>
      <c r="O12" s="40"/>
      <c r="P12" s="40"/>
      <c r="Q12" s="40"/>
      <c r="R12" s="40"/>
      <c r="S12" s="93"/>
      <c r="T12" s="93"/>
      <c r="U12" s="93"/>
      <c r="V12" s="93"/>
      <c r="W12" s="93"/>
      <c r="X12" s="93"/>
      <c r="Y12" s="94"/>
      <c r="Z12" s="93"/>
      <c r="AA12" s="93"/>
      <c r="AB12" s="93"/>
      <c r="AC12" s="93"/>
      <c r="AD12" s="93"/>
      <c r="AE12" s="93"/>
      <c r="AF12" s="93"/>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row>
    <row r="13" spans="1:64" s="35" customFormat="1" ht="30" customHeight="1" thickBot="1" x14ac:dyDescent="0.2">
      <c r="A13" s="4"/>
      <c r="B13" s="41" t="s">
        <v>23</v>
      </c>
      <c r="C13" s="42" t="s">
        <v>13</v>
      </c>
      <c r="D13" s="43">
        <v>1</v>
      </c>
      <c r="E13" s="44">
        <v>45709</v>
      </c>
      <c r="F13" s="44">
        <v>45716</v>
      </c>
      <c r="G13" s="6"/>
      <c r="H13" s="3"/>
      <c r="I13" s="40"/>
      <c r="J13" s="40"/>
      <c r="K13" s="40"/>
      <c r="L13" s="40"/>
      <c r="M13" s="40"/>
      <c r="N13" s="40"/>
      <c r="O13" s="40"/>
      <c r="P13" s="40"/>
      <c r="Q13" s="40"/>
      <c r="R13" s="40"/>
      <c r="S13" s="93"/>
      <c r="T13" s="93"/>
      <c r="U13" s="93"/>
      <c r="V13" s="93"/>
      <c r="W13" s="93"/>
      <c r="X13" s="93"/>
      <c r="Y13" s="94"/>
      <c r="Z13" s="93"/>
      <c r="AA13" s="93"/>
      <c r="AB13" s="93"/>
      <c r="AC13" s="93"/>
      <c r="AD13" s="93"/>
      <c r="AE13" s="93"/>
      <c r="AF13" s="93"/>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row>
    <row r="14" spans="1:64" s="35" customFormat="1" ht="30" customHeight="1" thickBot="1" x14ac:dyDescent="0.2">
      <c r="A14" s="4"/>
      <c r="B14" s="41" t="s">
        <v>16</v>
      </c>
      <c r="C14" s="42" t="s">
        <v>22</v>
      </c>
      <c r="D14" s="43">
        <v>1</v>
      </c>
      <c r="E14" s="44">
        <v>45719</v>
      </c>
      <c r="F14" s="44">
        <v>45721</v>
      </c>
      <c r="G14" s="6"/>
      <c r="H14" s="3"/>
      <c r="I14" s="40"/>
      <c r="J14" s="40"/>
      <c r="K14" s="40"/>
      <c r="L14" s="40"/>
      <c r="M14" s="40"/>
      <c r="N14" s="40"/>
      <c r="O14" s="40"/>
      <c r="P14" s="40"/>
      <c r="Q14" s="40"/>
      <c r="R14" s="40"/>
      <c r="S14" s="93"/>
      <c r="T14" s="93"/>
      <c r="U14" s="93"/>
      <c r="V14" s="93"/>
      <c r="W14" s="93"/>
      <c r="X14" s="93"/>
      <c r="Y14" s="94"/>
      <c r="Z14" s="93"/>
      <c r="AA14" s="93"/>
      <c r="AB14" s="93"/>
      <c r="AC14" s="93"/>
      <c r="AD14" s="93"/>
      <c r="AE14" s="93"/>
      <c r="AF14" s="93"/>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row>
    <row r="15" spans="1:64" s="35" customFormat="1" ht="30" customHeight="1" thickBot="1" x14ac:dyDescent="0.2">
      <c r="A15" s="4"/>
      <c r="B15" s="41" t="s">
        <v>17</v>
      </c>
      <c r="C15" s="42" t="s">
        <v>12</v>
      </c>
      <c r="D15" s="43">
        <v>1</v>
      </c>
      <c r="E15" s="44">
        <f>E10+1</f>
        <v>45717</v>
      </c>
      <c r="F15" s="44">
        <f>E15+2</f>
        <v>45719</v>
      </c>
      <c r="G15" s="6"/>
      <c r="H15" s="3">
        <f t="shared" si="5"/>
        <v>3</v>
      </c>
      <c r="I15" s="40"/>
      <c r="J15" s="40"/>
      <c r="K15" s="40"/>
      <c r="L15" s="40"/>
      <c r="M15" s="40"/>
      <c r="N15" s="40"/>
      <c r="O15" s="40"/>
      <c r="P15" s="40"/>
      <c r="Q15" s="40"/>
      <c r="R15" s="40"/>
      <c r="S15" s="93"/>
      <c r="T15" s="93"/>
      <c r="U15" s="93"/>
      <c r="V15" s="93"/>
      <c r="W15" s="93"/>
      <c r="X15" s="93"/>
      <c r="Y15" s="93"/>
      <c r="Z15" s="93"/>
      <c r="AA15" s="93"/>
      <c r="AB15" s="93"/>
      <c r="AC15" s="93"/>
      <c r="AD15" s="93"/>
      <c r="AE15" s="93"/>
      <c r="AF15" s="93"/>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row>
    <row r="16" spans="1:64" s="35" customFormat="1" ht="30" customHeight="1" thickBot="1" x14ac:dyDescent="0.2">
      <c r="A16" s="5"/>
      <c r="B16" s="46" t="s">
        <v>25</v>
      </c>
      <c r="C16" s="47"/>
      <c r="D16" s="48"/>
      <c r="E16" s="49"/>
      <c r="F16" s="50"/>
      <c r="G16" s="6"/>
      <c r="H16" s="3" t="str">
        <f t="shared" si="5"/>
        <v/>
      </c>
    </row>
    <row r="17" spans="1:64" s="35" customFormat="1" ht="30" customHeight="1" thickBot="1" x14ac:dyDescent="0.2">
      <c r="A17" s="5"/>
      <c r="B17" s="51"/>
      <c r="C17" s="52" t="s">
        <v>8</v>
      </c>
      <c r="D17" s="53">
        <v>0</v>
      </c>
      <c r="E17" s="54"/>
      <c r="F17" s="54"/>
      <c r="G17" s="6"/>
      <c r="H17" s="3" t="str">
        <f t="shared" si="5"/>
        <v/>
      </c>
      <c r="I17" s="40"/>
      <c r="J17" s="40"/>
      <c r="K17" s="40"/>
      <c r="L17" s="40"/>
      <c r="M17" s="40"/>
      <c r="N17" s="40"/>
      <c r="O17" s="40"/>
      <c r="P17" s="40"/>
      <c r="Q17" s="40"/>
      <c r="R17" s="40"/>
      <c r="S17" s="40"/>
      <c r="T17" s="40"/>
      <c r="U17" s="40"/>
      <c r="V17" s="40"/>
      <c r="W17" s="40"/>
      <c r="X17" s="40"/>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row>
    <row r="18" spans="1:64" s="35" customFormat="1" ht="30" customHeight="1" thickBot="1" x14ac:dyDescent="0.2">
      <c r="A18" s="4"/>
      <c r="B18" s="51"/>
      <c r="C18" s="52" t="s">
        <v>9</v>
      </c>
      <c r="D18" s="53">
        <v>0</v>
      </c>
      <c r="E18" s="54"/>
      <c r="F18" s="54"/>
      <c r="G18" s="6"/>
      <c r="H18" s="3" t="str">
        <f t="shared" si="5"/>
        <v/>
      </c>
      <c r="I18" s="40"/>
      <c r="J18" s="40"/>
      <c r="K18" s="40"/>
      <c r="L18" s="40"/>
      <c r="M18" s="40"/>
      <c r="N18" s="40"/>
      <c r="O18" s="40"/>
      <c r="P18" s="40"/>
      <c r="Q18" s="40"/>
      <c r="R18" s="40"/>
      <c r="S18" s="40"/>
      <c r="T18" s="40"/>
      <c r="U18" s="45"/>
      <c r="V18" s="45"/>
      <c r="W18" s="40"/>
      <c r="X18" s="40"/>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row>
    <row r="19" spans="1:64" s="35" customFormat="1" ht="30" customHeight="1" thickBot="1" x14ac:dyDescent="0.2">
      <c r="A19" s="4"/>
      <c r="B19" s="51"/>
      <c r="C19" s="52" t="s">
        <v>10</v>
      </c>
      <c r="D19" s="53">
        <v>0</v>
      </c>
      <c r="E19" s="54"/>
      <c r="F19" s="54"/>
      <c r="G19" s="6"/>
      <c r="H19" s="3" t="str">
        <f t="shared" si="5"/>
        <v/>
      </c>
      <c r="I19" s="40"/>
      <c r="J19" s="40"/>
      <c r="K19" s="40"/>
      <c r="L19" s="40"/>
      <c r="M19" s="40"/>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row>
    <row r="20" spans="1:64" s="35" customFormat="1" ht="30" customHeight="1" thickBot="1" x14ac:dyDescent="0.2">
      <c r="A20" s="4"/>
      <c r="B20" s="51"/>
      <c r="C20" s="52" t="s">
        <v>11</v>
      </c>
      <c r="D20" s="53">
        <v>0</v>
      </c>
      <c r="E20" s="54"/>
      <c r="F20" s="54"/>
      <c r="G20" s="6"/>
      <c r="H20" s="3" t="str">
        <f t="shared" si="5"/>
        <v/>
      </c>
      <c r="I20" s="40"/>
      <c r="J20" s="40"/>
      <c r="K20" s="40"/>
      <c r="L20" s="40"/>
      <c r="M20" s="40"/>
      <c r="N20" s="40"/>
      <c r="O20" s="40"/>
      <c r="P20" s="40"/>
      <c r="Q20" s="40"/>
      <c r="R20" s="40"/>
      <c r="S20" s="40"/>
      <c r="T20" s="40"/>
      <c r="U20" s="40"/>
      <c r="V20" s="40"/>
      <c r="W20" s="40"/>
      <c r="X20" s="40"/>
      <c r="Y20" s="45"/>
      <c r="Z20" s="40"/>
      <c r="AA20" s="40"/>
      <c r="AB20" s="40"/>
      <c r="AC20" s="40"/>
      <c r="AD20" s="40"/>
      <c r="AE20" s="40"/>
      <c r="AF20" s="40"/>
      <c r="AG20" s="40"/>
      <c r="AH20" s="40"/>
      <c r="AI20" s="40"/>
      <c r="AJ20" s="40"/>
      <c r="AK20" s="40"/>
      <c r="AL20" s="40"/>
      <c r="AM20" s="40"/>
      <c r="AN20" s="40"/>
      <c r="AO20" s="40"/>
      <c r="AP20" s="40"/>
      <c r="AQ20" s="40"/>
      <c r="AR20" s="40"/>
      <c r="AS20" s="40"/>
      <c r="AT20" s="40"/>
      <c r="AU20" s="40"/>
      <c r="AV20" s="40"/>
      <c r="AW20" s="40"/>
      <c r="AX20" s="40"/>
      <c r="AY20" s="40"/>
      <c r="AZ20" s="40"/>
      <c r="BA20" s="40"/>
      <c r="BB20" s="40"/>
      <c r="BC20" s="40"/>
      <c r="BD20" s="40"/>
      <c r="BE20" s="40"/>
      <c r="BF20" s="40"/>
      <c r="BG20" s="40"/>
      <c r="BH20" s="40"/>
      <c r="BI20" s="40"/>
      <c r="BJ20" s="40"/>
      <c r="BK20" s="40"/>
      <c r="BL20" s="40"/>
    </row>
    <row r="21" spans="1:64" s="35" customFormat="1" ht="30" customHeight="1" thickBot="1" x14ac:dyDescent="0.2">
      <c r="A21" s="4"/>
      <c r="B21" s="51"/>
      <c r="C21" s="52" t="s">
        <v>13</v>
      </c>
      <c r="D21" s="53">
        <v>0</v>
      </c>
      <c r="E21" s="54"/>
      <c r="F21" s="54"/>
      <c r="G21" s="6"/>
      <c r="H21" s="3"/>
      <c r="I21" s="40"/>
      <c r="J21" s="40"/>
      <c r="K21" s="40"/>
      <c r="L21" s="40"/>
      <c r="M21" s="40"/>
      <c r="N21" s="40"/>
      <c r="O21" s="40"/>
      <c r="P21" s="40"/>
      <c r="Q21" s="40"/>
      <c r="R21" s="40"/>
      <c r="S21" s="40"/>
      <c r="T21" s="40"/>
      <c r="U21" s="40"/>
      <c r="V21" s="40"/>
      <c r="W21" s="40"/>
      <c r="X21" s="40"/>
      <c r="Y21" s="45"/>
      <c r="Z21" s="40"/>
      <c r="AA21" s="40"/>
      <c r="AB21" s="40"/>
      <c r="AC21" s="40"/>
      <c r="AD21" s="40"/>
      <c r="AE21" s="40"/>
      <c r="AF21" s="40"/>
      <c r="AG21" s="40"/>
      <c r="AH21" s="40"/>
      <c r="AI21" s="40"/>
      <c r="AJ21" s="40"/>
      <c r="AK21" s="40"/>
      <c r="AL21" s="40"/>
      <c r="AM21" s="40"/>
      <c r="AN21" s="40"/>
      <c r="AO21" s="40"/>
      <c r="AP21" s="40"/>
      <c r="AQ21" s="40"/>
      <c r="AR21" s="40"/>
      <c r="AS21" s="40"/>
      <c r="AT21" s="40"/>
      <c r="AU21" s="40"/>
      <c r="AV21" s="40"/>
      <c r="AW21" s="40"/>
      <c r="AX21" s="40"/>
      <c r="AY21" s="40"/>
      <c r="AZ21" s="40"/>
      <c r="BA21" s="40"/>
      <c r="BB21" s="40"/>
      <c r="BC21" s="40"/>
      <c r="BD21" s="40"/>
      <c r="BE21" s="40"/>
      <c r="BF21" s="40"/>
      <c r="BG21" s="40"/>
      <c r="BH21" s="40"/>
      <c r="BI21" s="40"/>
      <c r="BJ21" s="40"/>
      <c r="BK21" s="40"/>
      <c r="BL21" s="40"/>
    </row>
    <row r="22" spans="1:64" s="35" customFormat="1" ht="30" customHeight="1" thickBot="1" x14ac:dyDescent="0.2">
      <c r="A22" s="4"/>
      <c r="B22" s="51"/>
      <c r="C22" s="52" t="s">
        <v>22</v>
      </c>
      <c r="D22" s="53">
        <v>0</v>
      </c>
      <c r="E22" s="54"/>
      <c r="F22" s="54"/>
      <c r="G22" s="6"/>
      <c r="H22" s="3"/>
      <c r="I22" s="40"/>
      <c r="J22" s="40"/>
      <c r="K22" s="40"/>
      <c r="L22" s="40"/>
      <c r="M22" s="40"/>
      <c r="N22" s="40"/>
      <c r="O22" s="40"/>
      <c r="P22" s="40"/>
      <c r="Q22" s="40"/>
      <c r="R22" s="40"/>
      <c r="S22" s="40"/>
      <c r="T22" s="40"/>
      <c r="U22" s="40"/>
      <c r="V22" s="40"/>
      <c r="W22" s="40"/>
      <c r="X22" s="40"/>
      <c r="Y22" s="45"/>
      <c r="Z22" s="40"/>
      <c r="AA22" s="40"/>
      <c r="AB22" s="40"/>
      <c r="AC22" s="40"/>
      <c r="AD22" s="40"/>
      <c r="AE22" s="40"/>
      <c r="AF22" s="40"/>
      <c r="AG22" s="40"/>
      <c r="AH22" s="40"/>
      <c r="AI22" s="40"/>
      <c r="AJ22" s="40"/>
      <c r="AK22" s="40"/>
      <c r="AL22" s="40"/>
      <c r="AM22" s="40"/>
      <c r="AN22" s="40"/>
      <c r="AO22" s="40"/>
      <c r="AP22" s="40"/>
      <c r="AQ22" s="40"/>
      <c r="AR22" s="40"/>
      <c r="AS22" s="40"/>
      <c r="AT22" s="40"/>
      <c r="AU22" s="40"/>
      <c r="AV22" s="40"/>
      <c r="AW22" s="40"/>
      <c r="AX22" s="40"/>
      <c r="AY22" s="40"/>
      <c r="AZ22" s="40"/>
      <c r="BA22" s="40"/>
      <c r="BB22" s="40"/>
      <c r="BC22" s="40"/>
      <c r="BD22" s="40"/>
      <c r="BE22" s="40"/>
      <c r="BF22" s="40"/>
      <c r="BG22" s="40"/>
      <c r="BH22" s="40"/>
      <c r="BI22" s="40"/>
      <c r="BJ22" s="40"/>
      <c r="BK22" s="40"/>
      <c r="BL22" s="40"/>
    </row>
    <row r="23" spans="1:64" s="35" customFormat="1" ht="30" customHeight="1" thickBot="1" x14ac:dyDescent="0.2">
      <c r="A23" s="4"/>
      <c r="B23" s="51"/>
      <c r="C23" s="52" t="s">
        <v>12</v>
      </c>
      <c r="D23" s="53">
        <v>0</v>
      </c>
      <c r="E23" s="54"/>
      <c r="F23" s="54"/>
      <c r="G23" s="6"/>
      <c r="H23" s="3" t="str">
        <f t="shared" si="5"/>
        <v/>
      </c>
      <c r="I23" s="40"/>
      <c r="J23" s="40"/>
      <c r="K23" s="40"/>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40"/>
      <c r="BB23" s="40"/>
      <c r="BC23" s="40"/>
      <c r="BD23" s="40"/>
      <c r="BE23" s="40"/>
      <c r="BF23" s="40"/>
      <c r="BG23" s="40"/>
      <c r="BH23" s="40"/>
      <c r="BI23" s="40"/>
      <c r="BJ23" s="40"/>
      <c r="BK23" s="40"/>
      <c r="BL23" s="40"/>
    </row>
    <row r="24" spans="1:64" s="35" customFormat="1" ht="30" customHeight="1" thickBot="1" x14ac:dyDescent="0.2">
      <c r="A24" s="4"/>
      <c r="B24" s="55"/>
      <c r="C24" s="56"/>
      <c r="D24" s="57"/>
      <c r="E24" s="58"/>
      <c r="F24" s="59"/>
      <c r="G24" s="6"/>
      <c r="H24" s="3" t="str">
        <f t="shared" si="5"/>
        <v/>
      </c>
      <c r="I24" s="60"/>
      <c r="J24" s="60"/>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row>
    <row r="25" spans="1:64" s="35" customFormat="1" ht="30" customHeight="1" thickBot="1" x14ac:dyDescent="0.2">
      <c r="A25" s="4"/>
      <c r="B25" s="61"/>
      <c r="C25" s="62" t="s">
        <v>8</v>
      </c>
      <c r="D25" s="63">
        <v>0</v>
      </c>
      <c r="E25" s="64"/>
      <c r="F25" s="64"/>
      <c r="G25" s="6"/>
      <c r="H25" s="3" t="str">
        <f t="shared" si="5"/>
        <v/>
      </c>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c r="AH25" s="40"/>
      <c r="AI25" s="40"/>
      <c r="AJ25" s="40"/>
      <c r="AK25" s="40"/>
      <c r="AL25" s="40"/>
      <c r="AM25" s="40"/>
      <c r="AN25" s="40"/>
      <c r="AO25" s="40"/>
      <c r="AP25" s="40"/>
      <c r="AQ25" s="40"/>
      <c r="AR25" s="40"/>
      <c r="AS25" s="40"/>
      <c r="AT25" s="40"/>
      <c r="AU25" s="40"/>
      <c r="AV25" s="40"/>
      <c r="AW25" s="40"/>
      <c r="AX25" s="40"/>
      <c r="AY25" s="40"/>
      <c r="AZ25" s="40"/>
      <c r="BA25" s="40"/>
      <c r="BB25" s="40"/>
      <c r="BC25" s="40"/>
      <c r="BD25" s="40"/>
      <c r="BE25" s="40"/>
      <c r="BF25" s="40"/>
      <c r="BG25" s="40"/>
      <c r="BH25" s="40"/>
      <c r="BI25" s="40"/>
      <c r="BJ25" s="40"/>
      <c r="BK25" s="40"/>
      <c r="BL25" s="40"/>
    </row>
    <row r="26" spans="1:64" s="35" customFormat="1" ht="30" customHeight="1" thickBot="1" x14ac:dyDescent="0.2">
      <c r="A26" s="4"/>
      <c r="B26" s="61"/>
      <c r="C26" s="62" t="s">
        <v>9</v>
      </c>
      <c r="D26" s="63">
        <v>0</v>
      </c>
      <c r="E26" s="64"/>
      <c r="F26" s="64"/>
      <c r="G26" s="6"/>
      <c r="H26" s="3" t="str">
        <f t="shared" si="5"/>
        <v/>
      </c>
      <c r="I26" s="40"/>
      <c r="J26" s="40"/>
      <c r="K26" s="40"/>
      <c r="L26" s="40"/>
      <c r="M26" s="40"/>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0"/>
      <c r="AP26" s="40"/>
      <c r="AQ26" s="40"/>
      <c r="AR26" s="40"/>
      <c r="AS26" s="40"/>
      <c r="AT26" s="40"/>
      <c r="AU26" s="40"/>
      <c r="AV26" s="40"/>
      <c r="AW26" s="40"/>
      <c r="AX26" s="40"/>
      <c r="AY26" s="40"/>
      <c r="AZ26" s="40"/>
      <c r="BA26" s="40"/>
      <c r="BB26" s="40"/>
      <c r="BC26" s="40"/>
      <c r="BD26" s="40"/>
      <c r="BE26" s="40"/>
      <c r="BF26" s="40"/>
      <c r="BG26" s="40"/>
      <c r="BH26" s="40"/>
      <c r="BI26" s="40"/>
      <c r="BJ26" s="40"/>
      <c r="BK26" s="40"/>
      <c r="BL26" s="40"/>
    </row>
    <row r="27" spans="1:64" s="35" customFormat="1" ht="30" customHeight="1" thickBot="1" x14ac:dyDescent="0.2">
      <c r="A27" s="4"/>
      <c r="B27" s="61"/>
      <c r="C27" s="62" t="s">
        <v>10</v>
      </c>
      <c r="D27" s="63">
        <v>0</v>
      </c>
      <c r="E27" s="64"/>
      <c r="F27" s="64"/>
      <c r="G27" s="6"/>
      <c r="H27" s="3" t="str">
        <f t="shared" si="5"/>
        <v/>
      </c>
      <c r="I27" s="40"/>
      <c r="J27" s="40"/>
      <c r="K27" s="40"/>
      <c r="L27" s="40"/>
      <c r="M27" s="40"/>
      <c r="N27" s="40"/>
      <c r="O27" s="40"/>
      <c r="P27" s="40"/>
      <c r="Q27" s="40"/>
      <c r="R27" s="40"/>
      <c r="S27" s="40"/>
      <c r="T27" s="40"/>
      <c r="U27" s="40"/>
      <c r="V27" s="40"/>
      <c r="W27" s="40"/>
      <c r="X27" s="40"/>
      <c r="Y27" s="40"/>
      <c r="Z27" s="40"/>
      <c r="AA27" s="40"/>
      <c r="AB27" s="40"/>
      <c r="AC27" s="40"/>
      <c r="AD27" s="40"/>
      <c r="AE27" s="40"/>
      <c r="AF27" s="40"/>
      <c r="AG27" s="40"/>
      <c r="AH27" s="40"/>
      <c r="AI27" s="40"/>
      <c r="AJ27" s="40"/>
      <c r="AK27" s="40"/>
      <c r="AL27" s="40"/>
      <c r="AM27" s="40"/>
      <c r="AN27" s="40"/>
      <c r="AO27" s="40"/>
      <c r="AP27" s="40"/>
      <c r="AQ27" s="40"/>
      <c r="AR27" s="40"/>
      <c r="AS27" s="40"/>
      <c r="AT27" s="40"/>
      <c r="AU27" s="40"/>
      <c r="AV27" s="40"/>
      <c r="AW27" s="40"/>
      <c r="AX27" s="40"/>
      <c r="AY27" s="40"/>
      <c r="AZ27" s="40"/>
      <c r="BA27" s="40"/>
      <c r="BB27" s="40"/>
      <c r="BC27" s="40"/>
      <c r="BD27" s="40"/>
      <c r="BE27" s="40"/>
      <c r="BF27" s="40"/>
      <c r="BG27" s="40"/>
      <c r="BH27" s="40"/>
      <c r="BI27" s="40"/>
      <c r="BJ27" s="40"/>
      <c r="BK27" s="40"/>
      <c r="BL27" s="40"/>
    </row>
    <row r="28" spans="1:64" s="35" customFormat="1" ht="30" customHeight="1" thickBot="1" x14ac:dyDescent="0.2">
      <c r="A28" s="4"/>
      <c r="B28" s="61"/>
      <c r="C28" s="62" t="s">
        <v>11</v>
      </c>
      <c r="D28" s="63">
        <v>0</v>
      </c>
      <c r="E28" s="64"/>
      <c r="F28" s="64"/>
      <c r="G28" s="6"/>
      <c r="H28" s="3" t="str">
        <f t="shared" si="5"/>
        <v/>
      </c>
      <c r="I28" s="40"/>
      <c r="J28" s="40"/>
      <c r="K28" s="40"/>
      <c r="L28" s="40"/>
      <c r="M28" s="40"/>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0"/>
      <c r="AP28" s="40"/>
      <c r="AQ28" s="40"/>
      <c r="AR28" s="40"/>
      <c r="AS28" s="40"/>
      <c r="AT28" s="40"/>
      <c r="AU28" s="40"/>
      <c r="AV28" s="40"/>
      <c r="AW28" s="40"/>
      <c r="AX28" s="40"/>
      <c r="AY28" s="40"/>
      <c r="AZ28" s="40"/>
      <c r="BA28" s="40"/>
      <c r="BB28" s="40"/>
      <c r="BC28" s="40"/>
      <c r="BD28" s="40"/>
      <c r="BE28" s="40"/>
      <c r="BF28" s="40"/>
      <c r="BG28" s="40"/>
      <c r="BH28" s="40"/>
      <c r="BI28" s="40"/>
      <c r="BJ28" s="40"/>
      <c r="BK28" s="40"/>
      <c r="BL28" s="40"/>
    </row>
    <row r="29" spans="1:64" s="35" customFormat="1" ht="30" customHeight="1" thickBot="1" x14ac:dyDescent="0.2">
      <c r="A29" s="4"/>
      <c r="B29" s="61"/>
      <c r="C29" s="62" t="s">
        <v>13</v>
      </c>
      <c r="D29" s="63">
        <v>0</v>
      </c>
      <c r="E29" s="64"/>
      <c r="F29" s="64"/>
      <c r="G29" s="6"/>
      <c r="H29" s="3"/>
      <c r="I29" s="40"/>
      <c r="J29" s="40"/>
      <c r="K29" s="40"/>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c r="AS29" s="40"/>
      <c r="AT29" s="40"/>
      <c r="AU29" s="40"/>
      <c r="AV29" s="40"/>
      <c r="AW29" s="40"/>
      <c r="AX29" s="40"/>
      <c r="AY29" s="40"/>
      <c r="AZ29" s="40"/>
      <c r="BA29" s="40"/>
      <c r="BB29" s="40"/>
      <c r="BC29" s="40"/>
      <c r="BD29" s="40"/>
      <c r="BE29" s="40"/>
      <c r="BF29" s="40"/>
      <c r="BG29" s="40"/>
      <c r="BH29" s="40"/>
      <c r="BI29" s="40"/>
      <c r="BJ29" s="40"/>
      <c r="BK29" s="40"/>
      <c r="BL29" s="40"/>
    </row>
    <row r="30" spans="1:64" s="35" customFormat="1" ht="30" customHeight="1" thickBot="1" x14ac:dyDescent="0.2">
      <c r="A30" s="4"/>
      <c r="B30" s="61"/>
      <c r="C30" s="62" t="s">
        <v>14</v>
      </c>
      <c r="D30" s="63">
        <v>0</v>
      </c>
      <c r="E30" s="64"/>
      <c r="F30" s="64"/>
      <c r="G30" s="6"/>
      <c r="H30" s="3" t="str">
        <f t="shared" si="5"/>
        <v/>
      </c>
      <c r="I30" s="40"/>
      <c r="J30" s="40"/>
      <c r="K30" s="40"/>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c r="AS30" s="40"/>
      <c r="AT30" s="40"/>
      <c r="AU30" s="40"/>
      <c r="AV30" s="40"/>
      <c r="AW30" s="40"/>
      <c r="AX30" s="40"/>
      <c r="AY30" s="40"/>
      <c r="AZ30" s="40"/>
      <c r="BA30" s="40"/>
      <c r="BB30" s="40"/>
      <c r="BC30" s="40"/>
      <c r="BD30" s="40"/>
      <c r="BE30" s="40"/>
      <c r="BF30" s="40"/>
      <c r="BG30" s="40"/>
      <c r="BH30" s="40"/>
      <c r="BI30" s="40"/>
      <c r="BJ30" s="40"/>
      <c r="BK30" s="40"/>
      <c r="BL30" s="40"/>
    </row>
    <row r="31" spans="1:64" s="35" customFormat="1" ht="30" customHeight="1" thickBot="1" x14ac:dyDescent="0.2">
      <c r="A31" s="4"/>
      <c r="B31" s="83"/>
      <c r="C31" s="84" t="s">
        <v>12</v>
      </c>
      <c r="D31" s="85">
        <v>0</v>
      </c>
      <c r="E31" s="86"/>
      <c r="F31" s="87"/>
      <c r="G31" s="6"/>
      <c r="H31" s="3" t="str">
        <f t="shared" si="5"/>
        <v/>
      </c>
      <c r="I31" s="65"/>
      <c r="J31" s="65"/>
      <c r="K31" s="65"/>
      <c r="L31" s="65"/>
      <c r="M31" s="65"/>
      <c r="N31" s="65"/>
      <c r="O31" s="65"/>
      <c r="P31" s="65"/>
      <c r="Q31" s="65"/>
      <c r="R31" s="65"/>
      <c r="S31" s="65"/>
      <c r="T31" s="65"/>
      <c r="U31" s="65"/>
      <c r="V31" s="65"/>
      <c r="W31" s="65"/>
      <c r="X31" s="65"/>
      <c r="Y31" s="65"/>
      <c r="Z31" s="65"/>
      <c r="AA31" s="65"/>
      <c r="AB31" s="65"/>
      <c r="AC31" s="65"/>
      <c r="AD31" s="65"/>
      <c r="AE31" s="65"/>
      <c r="AF31" s="65"/>
      <c r="AG31" s="65"/>
      <c r="AH31" s="65"/>
      <c r="AI31" s="65"/>
      <c r="AJ31" s="65"/>
      <c r="AK31" s="65"/>
      <c r="AL31" s="65"/>
      <c r="AM31" s="65"/>
      <c r="AN31" s="65"/>
      <c r="AO31" s="65"/>
      <c r="AP31" s="65"/>
      <c r="AQ31" s="65"/>
      <c r="AR31" s="65"/>
      <c r="AS31" s="65"/>
      <c r="AT31" s="65"/>
      <c r="AU31" s="65"/>
      <c r="AV31" s="65"/>
      <c r="AW31" s="65"/>
      <c r="AX31" s="65"/>
      <c r="AY31" s="65"/>
      <c r="AZ31" s="65"/>
      <c r="BA31" s="65"/>
      <c r="BB31" s="65"/>
      <c r="BC31" s="65"/>
      <c r="BD31" s="65"/>
      <c r="BE31" s="65"/>
      <c r="BF31" s="65"/>
      <c r="BG31" s="65"/>
      <c r="BH31" s="65"/>
      <c r="BI31" s="65"/>
      <c r="BJ31" s="65"/>
      <c r="BK31" s="65"/>
      <c r="BL31" s="65"/>
    </row>
    <row r="32" spans="1:64" s="35" customFormat="1" ht="30" customHeight="1" x14ac:dyDescent="0.15">
      <c r="A32" s="4"/>
      <c r="B32" s="6"/>
    </row>
    <row r="33" spans="1:5" s="35" customFormat="1" ht="30" customHeight="1" x14ac:dyDescent="0.15">
      <c r="A33" s="4"/>
      <c r="B33" s="6"/>
    </row>
    <row r="34" spans="1:5" s="35" customFormat="1" ht="30" customHeight="1" x14ac:dyDescent="0.15">
      <c r="A34" s="4"/>
      <c r="B34" s="6"/>
    </row>
    <row r="35" spans="1:5" s="35" customFormat="1" ht="30" customHeight="1" x14ac:dyDescent="0.15">
      <c r="A35" s="4"/>
      <c r="B35" s="6"/>
    </row>
    <row r="36" spans="1:5" s="35" customFormat="1" ht="30" customHeight="1" x14ac:dyDescent="0.15">
      <c r="A36" s="4"/>
      <c r="B36" s="6"/>
    </row>
    <row r="37" spans="1:5" s="35" customFormat="1" ht="30" customHeight="1" x14ac:dyDescent="0.15">
      <c r="A37" s="4"/>
      <c r="B37" s="6"/>
    </row>
    <row r="38" spans="1:5" s="35" customFormat="1" ht="30" customHeight="1" x14ac:dyDescent="0.15">
      <c r="A38" s="5"/>
      <c r="B38" s="6"/>
      <c r="C38"/>
      <c r="D38"/>
      <c r="E38" s="2"/>
    </row>
  </sheetData>
  <mergeCells count="18">
    <mergeCell ref="A5:A6"/>
    <mergeCell ref="B5:B6"/>
    <mergeCell ref="C5:C6"/>
    <mergeCell ref="D5:D6"/>
    <mergeCell ref="E5:E6"/>
    <mergeCell ref="F5:F6"/>
    <mergeCell ref="Q2:Z2"/>
    <mergeCell ref="Q1:Z1"/>
    <mergeCell ref="I1:O1"/>
    <mergeCell ref="I2:O2"/>
    <mergeCell ref="BF4:BL4"/>
    <mergeCell ref="I4:O4"/>
    <mergeCell ref="P4:V4"/>
    <mergeCell ref="W4:AC4"/>
    <mergeCell ref="AD4:AJ4"/>
    <mergeCell ref="AK4:AQ4"/>
    <mergeCell ref="AR4:AX4"/>
    <mergeCell ref="AY4:BE4"/>
  </mergeCells>
  <conditionalFormatting sqref="D7:D31">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31">
    <cfRule type="expression" dxfId="6" priority="1">
      <formula>AND(TODAY()&gt;=I$5, TODAY()&lt;J$5)</formula>
    </cfRule>
  </conditionalFormatting>
  <conditionalFormatting sqref="I9:BL15">
    <cfRule type="expression" dxfId="5" priority="6">
      <formula>AND(task_start&lt;=I$5,ROUNDDOWN((task_end-task_start+1)*task_progress,0)+task_start-1&gt;=I$5)</formula>
    </cfRule>
    <cfRule type="expression" dxfId="4" priority="7" stopIfTrue="1">
      <formula>AND(task_end&gt;=I$5,task_start&lt;J$5)</formula>
    </cfRule>
  </conditionalFormatting>
  <conditionalFormatting sqref="I17:BL23">
    <cfRule type="expression" dxfId="3" priority="4">
      <formula>AND(task_start&lt;=I$5,ROUNDDOWN((task_end-task_start+1)*task_progress,0)+task_start-1&gt;=I$5)</formula>
    </cfRule>
    <cfRule type="expression" dxfId="2" priority="5" stopIfTrue="1">
      <formula>AND(task_end&gt;=I$5,task_start&lt;J$5)</formula>
    </cfRule>
  </conditionalFormatting>
  <conditionalFormatting sqref="I25:BL30">
    <cfRule type="expression" dxfId="1" priority="2">
      <formula>AND(task_start&lt;=I$5,ROUNDDOWN((task_end-task_start+1)*task_progress,0)+task_start-1&gt;=I$5)</formula>
    </cfRule>
    <cfRule type="expression" dxfId="0" priority="3" stopIfTrue="1">
      <formula>AND(task_end&gt;=I$5,task_start&lt;J$5)</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6" xr:uid="{4F48FC41-E335-47F1-87AA-3333A52AD81C}"/>
    <dataValidation allowBlank="1" showInputMessage="1" showErrorMessage="1" prompt="Phase 3's sample block starts in cell B20." sqref="A24" xr:uid="{956902D1-D3B5-416D-BB69-9362D193BC0A}"/>
    <dataValidation allowBlank="1" showInputMessage="1" showErrorMessage="1" prompt="Phase 4's sample block starts in cell B26." sqref="A31"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8"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Project schedule</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Hassan Raza</dc:creator>
  <cp:keywords/>
  <dc:description/>
  <cp:lastModifiedBy>Sulaiman Saeed</cp:lastModifiedBy>
  <cp:revision/>
  <dcterms:created xsi:type="dcterms:W3CDTF">2025-02-25T15:16:09Z</dcterms:created>
  <dcterms:modified xsi:type="dcterms:W3CDTF">2025-03-05T00:45:35Z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