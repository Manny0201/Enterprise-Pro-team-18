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mc:AlternateContent xmlns:mc="http://schemas.openxmlformats.org/markup-compatibility/2006">
    <mc:Choice Requires="x15">
      <x15ac:absPath xmlns:x15ac="http://schemas.microsoft.com/office/spreadsheetml/2010/11/ac" url="/Users/sulaimansaeed/Desktop/"/>
    </mc:Choice>
  </mc:AlternateContent>
  <xr:revisionPtr revIDLastSave="0" documentId="13_ncr:1_{BED848DE-95A9-2E4C-866B-20C28FE93870}" xr6:coauthVersionLast="47" xr6:coauthVersionMax="47" xr10:uidLastSave="{00000000-0000-0000-0000-000000000000}"/>
  <bookViews>
    <workbookView xWindow="-5860" yWindow="-21100" windowWidth="38400" windowHeight="2110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l="1"/>
  <c r="I5" i="11" l="1"/>
  <c r="H31" i="11"/>
  <c r="H24" i="11"/>
  <c r="H16" i="11"/>
  <c r="H8" i="11"/>
  <c r="H25" i="11" l="1"/>
  <c r="H26" i="11"/>
  <c r="H9" i="11"/>
  <c r="I6" i="11"/>
  <c r="H30" i="11" l="1"/>
  <c r="H10" i="11"/>
  <c r="H27" i="11"/>
  <c r="H17" i="11"/>
  <c r="H15" i="11"/>
  <c r="J5" i="11"/>
  <c r="K5" i="11" s="1"/>
  <c r="L5" i="11" s="1"/>
  <c r="M5" i="11" s="1"/>
  <c r="N5" i="11" s="1"/>
  <c r="O5" i="11" s="1"/>
  <c r="P5" i="11" s="1"/>
  <c r="I4" i="11"/>
  <c r="H28" i="11" l="1"/>
  <c r="H18" i="11"/>
  <c r="H11" i="11"/>
  <c r="H12" i="11"/>
  <c r="P4" i="11"/>
  <c r="Q5" i="11"/>
  <c r="R5" i="11" s="1"/>
  <c r="S5" i="11" s="1"/>
  <c r="T5" i="11" s="1"/>
  <c r="U5" i="11" s="1"/>
  <c r="V5" i="11" s="1"/>
  <c r="W5" i="11" s="1"/>
  <c r="J6" i="11"/>
  <c r="H23" i="11" l="1"/>
  <c r="H20" i="11"/>
  <c r="H19"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<sst xmlns="http://schemas.openxmlformats.org/spreadsheetml/2006/main" count="39" uniqueCount="26">
  <si>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</si>
  <si>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</si>
  <si>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</si>
  <si>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</si>
  <si>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</si>
  <si>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</si>
  <si>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</si>
  <si>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</si>
  <si>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Amaan Mahmood</t>
  </si>
  <si>
    <t>Hassan Raza</t>
  </si>
  <si>
    <t>Mehdi Bukhari</t>
  </si>
  <si>
    <t>Fahad Khan</t>
  </si>
  <si>
    <t>Fizzah Khan</t>
  </si>
  <si>
    <t>Sulaiman Saeed</t>
  </si>
  <si>
    <t>Adam Sajid</t>
  </si>
  <si>
    <t>WW1 Database</t>
  </si>
  <si>
    <t>creating Login page to database and create database for login</t>
  </si>
  <si>
    <t>Developing WW1 Database</t>
  </si>
  <si>
    <t>Part 1 of the Prjoect deadline 7th march</t>
  </si>
  <si>
    <t>Adam Sajad</t>
  </si>
  <si>
    <t xml:space="preserve">Part 2 of the project </t>
  </si>
  <si>
    <t>linking database and team minutes</t>
  </si>
  <si>
    <t>Designing and devolping home page and work on database</t>
  </si>
  <si>
    <t>Design and develop about us page and work on login</t>
  </si>
  <si>
    <t xml:space="preserve">Design and devolp the peoples search page and work on backend </t>
  </si>
  <si>
    <t xml:space="preserve">linking ww1 database and work on front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</si>
</sst>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sz val="11"/>
      <color theme="1"/>
      <name val="Arial Black"/>
      <family val="2"/>
      <scheme val="major"/>
    </font>
    <font>
      <b/>
      <sz val="40"/>
      <color theme="1"/>
      <name val="Arial Black"/>
      <family val="2"/>
      <scheme val="major"/>
    </font>
    <font>
      <b/>
      <sz val="16"/>
      <color theme="1"/>
      <name val="Arial"/>
      <family val="2"/>
      <scheme val="minor"/>
    </font>
    <font>
      <b/>
      <sz val="16"/>
      <color theme="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249977111117893"/>
        <bgColor indexed="64"/>
      </patternFill>
    </fill>
    <fill>
      <patternFill patternType="solid">
        <fgColor rgb="FFFFFF00"/>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4">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5" fillId="10" borderId="19" xfId="0" applyNumberFormat="1" applyFont="1" applyFill="1" applyBorder="1" applyAlignment="1">
      <alignment horizontal="center" vertical="center"/>
    </xf>
    <xf numFmtId="167" fontId="15" fillId="10" borderId="17" xfId="0" applyNumberFormat="1" applyFont="1" applyFill="1" applyBorder="1" applyAlignment="1">
      <alignment horizontal="center" vertical="center"/>
    </xf>
    <xf numFmtId="167" fontId="15" fillId="10" borderId="18" xfId="0" applyNumberFormat="1" applyFont="1" applyFill="1" applyBorder="1" applyAlignment="1">
      <alignment horizontal="center" vertical="center"/>
    </xf>
    <xf numFmtId="0" fontId="16" fillId="2" borderId="16"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6" fillId="2" borderId="14"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4" fillId="0" borderId="3" xfId="0" applyFont="1" applyBorder="1" applyAlignment="1">
      <alignment vertical="center"/>
    </xf>
    <xf numFmtId="0" fontId="17" fillId="6" borderId="0" xfId="0" applyFont="1" applyFill="1" applyAlignment="1">
      <alignment horizontal="left" vertical="center" indent="1"/>
    </xf>
    <xf numFmtId="0" fontId="13" fillId="6" borderId="0" xfId="11" applyFont="1" applyFill="1" applyBorder="1" applyAlignment="1">
      <alignment vertical="center"/>
    </xf>
    <xf numFmtId="9" fontId="1"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3" fillId="3" borderId="6" xfId="12" applyFont="1" applyFill="1" applyBorder="1">
      <alignment horizontal="left" vertical="center" indent="2"/>
    </xf>
    <xf numFmtId="0" fontId="13" fillId="3" borderId="6" xfId="11" applyFont="1" applyFill="1" applyBorder="1" applyAlignment="1">
      <alignment vertical="center"/>
    </xf>
    <xf numFmtId="9" fontId="1" fillId="3" borderId="6" xfId="2" applyFont="1" applyFill="1" applyBorder="1" applyAlignment="1">
      <alignment horizontal="center" vertical="center"/>
    </xf>
    <xf numFmtId="164" fontId="13" fillId="3" borderId="6" xfId="10" applyFont="1" applyFill="1" applyBorder="1">
      <alignment horizontal="center" vertical="center"/>
    </xf>
    <xf numFmtId="0" fontId="4" fillId="0" borderId="4" xfId="0" applyFont="1" applyBorder="1" applyAlignment="1">
      <alignment vertical="center"/>
    </xf>
    <xf numFmtId="0" fontId="13" fillId="3" borderId="7" xfId="12" applyFont="1" applyFill="1" applyBorder="1">
      <alignment horizontal="left" vertical="center" indent="2"/>
    </xf>
    <xf numFmtId="0" fontId="13" fillId="3" borderId="7" xfId="11" applyFont="1" applyFill="1" applyBorder="1" applyAlignment="1">
      <alignment vertical="center"/>
    </xf>
    <xf numFmtId="9" fontId="1" fillId="3" borderId="7" xfId="2" applyFont="1" applyFill="1" applyBorder="1" applyAlignment="1">
      <alignment horizontal="center" vertical="center"/>
    </xf>
    <xf numFmtId="164" fontId="13" fillId="3" borderId="7" xfId="10" applyFont="1" applyFill="1" applyBorder="1">
      <alignment horizontal="center" vertical="center"/>
    </xf>
    <xf numFmtId="0" fontId="4" fillId="0" borderId="4" xfId="0" applyFont="1" applyBorder="1" applyAlignment="1">
      <alignment horizontal="right" vertical="center"/>
    </xf>
    <xf numFmtId="0" fontId="17" fillId="7" borderId="0" xfId="0" applyFont="1" applyFill="1" applyAlignment="1">
      <alignment horizontal="left" vertical="center" indent="1"/>
    </xf>
    <xf numFmtId="0" fontId="13" fillId="7" borderId="0" xfId="11" applyFont="1" applyFill="1" applyBorder="1" applyAlignment="1">
      <alignment vertical="center"/>
    </xf>
    <xf numFmtId="9" fontId="1" fillId="7" borderId="0" xfId="2" applyFont="1" applyFill="1" applyBorder="1" applyAlignment="1">
      <alignment horizontal="center" vertical="center"/>
    </xf>
    <xf numFmtId="164" fontId="13"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3" fillId="4" borderId="5" xfId="12" applyFont="1" applyFill="1" applyBorder="1">
      <alignment horizontal="left" vertical="center" indent="2"/>
    </xf>
    <xf numFmtId="0" fontId="13" fillId="4" borderId="5" xfId="11" applyFont="1" applyFill="1" applyBorder="1" applyAlignment="1">
      <alignment vertical="center"/>
    </xf>
    <xf numFmtId="9" fontId="1" fillId="4" borderId="5" xfId="2" applyFont="1" applyFill="1" applyBorder="1" applyAlignment="1">
      <alignment horizontal="center" vertical="center"/>
    </xf>
    <xf numFmtId="164" fontId="13" fillId="4" borderId="5" xfId="10" applyFont="1" applyFill="1" applyBorder="1">
      <alignment horizontal="center" vertical="center"/>
    </xf>
    <xf numFmtId="0" fontId="17" fillId="8" borderId="0" xfId="0" applyFont="1" applyFill="1" applyAlignment="1">
      <alignment horizontal="left" vertical="center" indent="1"/>
    </xf>
    <xf numFmtId="0" fontId="13" fillId="8" borderId="0" xfId="11" applyFont="1" applyFill="1" applyBorder="1" applyAlignment="1">
      <alignment vertical="center"/>
    </xf>
    <xf numFmtId="9" fontId="1" fillId="8" borderId="0" xfId="2" applyFont="1" applyFill="1" applyBorder="1" applyAlignment="1">
      <alignment horizontal="center" vertical="center"/>
    </xf>
    <xf numFmtId="164" fontId="13"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3" fillId="5" borderId="8" xfId="12" applyFont="1" applyFill="1" applyBorder="1">
      <alignment horizontal="left" vertical="center" indent="2"/>
    </xf>
    <xf numFmtId="0" fontId="13" fillId="5" borderId="8" xfId="11" applyFont="1" applyFill="1" applyBorder="1" applyAlignment="1">
      <alignment vertical="center"/>
    </xf>
    <xf numFmtId="9" fontId="1" fillId="5" borderId="8" xfId="2" applyFont="1" applyFill="1" applyBorder="1" applyAlignment="1">
      <alignment horizontal="center" vertical="center"/>
    </xf>
    <xf numFmtId="164" fontId="13" fillId="5" borderId="8" xfId="10" applyFont="1" applyFill="1" applyBorder="1">
      <alignment horizontal="center" vertical="center"/>
    </xf>
    <xf numFmtId="0" fontId="4" fillId="0" borderId="9" xfId="0" applyFont="1" applyBorder="1" applyAlignment="1">
      <alignment vertical="center"/>
    </xf>
    <xf numFmtId="0" fontId="19" fillId="0" borderId="0" xfId="5" applyFont="1" applyAlignment="1">
      <alignment horizontal="left"/>
    </xf>
    <xf numFmtId="0" fontId="20" fillId="0" borderId="0" xfId="6" applyFont="1" applyAlignment="1">
      <alignment horizontal="left" vertical="center" indent="1"/>
    </xf>
    <xf numFmtId="0" fontId="20" fillId="0" borderId="0" xfId="7" applyFont="1" applyAlignment="1">
      <alignment horizontal="left" vertical="center" indent="1"/>
    </xf>
    <xf numFmtId="0" fontId="17" fillId="5" borderId="0" xfId="0" applyFont="1" applyFill="1" applyAlignment="1">
      <alignment horizontal="left" vertical="center" indent="1"/>
    </xf>
    <xf numFmtId="0" fontId="13" fillId="5" borderId="0" xfId="11" applyFont="1" applyFill="1" applyBorder="1" applyAlignment="1">
      <alignment vertical="center"/>
    </xf>
    <xf numFmtId="9" fontId="1" fillId="5" borderId="0" xfId="2" applyFont="1" applyFill="1" applyBorder="1" applyAlignment="1">
      <alignment horizontal="center" vertical="center"/>
    </xf>
    <xf numFmtId="164" fontId="13"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0" fillId="0" borderId="4" xfId="0" applyBorder="1" applyAlignment="1">
      <alignment vertical="center"/>
    </xf>
    <xf numFmtId="0" fontId="4" fillId="11" borderId="4" xfId="0" applyFont="1" applyFill="1" applyBorder="1" applyAlignment="1" applyProtection="1">
      <alignment vertical="center"/>
      <protection locked="0"/>
    </xf>
    <xf numFmtId="0" fontId="4" fillId="0" borderId="4"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4" xfId="0" applyFont="1" applyBorder="1" applyAlignment="1" applyProtection="1">
      <alignment horizontal="right" vertical="center"/>
      <protection locked="0"/>
    </xf>
    <xf numFmtId="0" fontId="4" fillId="12" borderId="4" xfId="0" applyFont="1" applyFill="1" applyBorder="1" applyAlignment="1" applyProtection="1">
      <alignment vertical="center"/>
      <protection locked="0"/>
    </xf>
    <xf numFmtId="166" fontId="13" fillId="2" borderId="12" xfId="0" applyNumberFormat="1" applyFont="1" applyFill="1" applyBorder="1" applyAlignment="1">
      <alignment horizontal="center" vertical="center" wrapText="1"/>
    </xf>
    <xf numFmtId="166" fontId="13" fillId="2" borderId="18" xfId="0" applyNumberFormat="1" applyFont="1" applyFill="1" applyBorder="1" applyAlignment="1">
      <alignment horizontal="center" vertical="center" wrapText="1"/>
    </xf>
    <xf numFmtId="166" fontId="13" fillId="2" borderId="17" xfId="0" applyNumberFormat="1" applyFont="1" applyFill="1" applyBorder="1" applyAlignment="1">
      <alignment horizontal="center" vertical="center" wrapText="1"/>
    </xf>
    <xf numFmtId="0" fontId="14" fillId="9" borderId="15" xfId="0" applyFont="1" applyFill="1" applyBorder="1" applyAlignment="1">
      <alignment horizontal="center" vertical="center"/>
    </xf>
    <xf numFmtId="0" fontId="4" fillId="2" borderId="20" xfId="0" applyFont="1" applyFill="1" applyBorder="1"/>
    <xf numFmtId="0" fontId="21" fillId="0" borderId="0" xfId="0" applyFont="1" applyAlignment="1">
      <alignment horizontal="left"/>
    </xf>
    <xf numFmtId="0" fontId="18" fillId="0" borderId="0" xfId="0" applyFont="1"/>
    <xf numFmtId="165" fontId="21" fillId="0" borderId="0" xfId="9" applyFont="1" applyBorder="1" applyAlignment="1">
      <alignment horizontal="left"/>
    </xf>
    <xf numFmtId="0" fontId="20" fillId="0" borderId="0" xfId="8" applyFont="1" applyAlignment="1">
      <alignment horizontal="left"/>
    </xf>
    <xf numFmtId="0" fontId="4" fillId="0" borderId="0" xfId="0" applyFont="1"/>
    <xf numFmtId="0" fontId="7" fillId="0" borderId="0" xfId="3" applyAlignment="1">
      <alignment wrapText="1"/>
    </xf>
    <xf numFmtId="0" fontId="14" fillId="9" borderId="15" xfId="0" applyFont="1" applyFill="1" applyBorder="1" applyAlignment="1">
      <alignment horizontal="left" vertical="center" indent="1"/>
    </xf>
    <xf numFmtId="0" fontId="4" fillId="2" borderId="20" xfId="0" applyFont="1" applyFill="1" applyBorder="1" applyAlignment="1">
      <alignment horizontal="left" indent="1"/>
    </xf>
    <xf numFmtId="0" fontId="14" fillId="9" borderId="15"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969AD"/>
      <color rgb="FFC0C0C0"/>
      <color rgb="FF4A6F9C"/>
      <color rgb="FF42648A"/>
      <color rgb="FF427FC2"/>
      <color rgb="FF215881"/>
      <color rgb="FF969696"/>
      <color rgb="FF44678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8"/>
  <sheetViews>
    <sheetView showGridLines="0" tabSelected="1" showRuler="0" topLeftCell="A2" zoomScale="150" zoomScaleNormal="100" zoomScalePageLayoutView="70" workbookViewId="0">
      <selection activeCell="F13" sqref="F13"/>
    </sheetView>
  </sheetViews>
  <sheetFormatPr baseColWidth="10" defaultColWidth="8.6640625" defaultRowHeight="30" customHeight="1" x14ac:dyDescent="0.15"/>
  <cols>
    <col min="1" max="1" width="2.6640625" style="4" customWidth="1"/>
    <col min="2" max="2" width="53"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5"/>
      <c r="B1" s="66" t="s">
        <v>15</v>
      </c>
      <c r="C1" s="7"/>
      <c r="D1" s="8"/>
      <c r="E1" s="9"/>
      <c r="F1" s="10"/>
      <c r="H1" s="1"/>
      <c r="I1" s="88" t="s">
        <v>0</v>
      </c>
      <c r="J1" s="89"/>
      <c r="K1" s="89"/>
      <c r="L1" s="89"/>
      <c r="M1" s="89"/>
      <c r="N1" s="89"/>
      <c r="O1" s="89"/>
      <c r="P1" s="13"/>
      <c r="Q1" s="87">
        <f>DATE(2025,2,14)</f>
        <v>45702</v>
      </c>
      <c r="R1" s="86"/>
      <c r="S1" s="86"/>
      <c r="T1" s="86"/>
      <c r="U1" s="86"/>
      <c r="V1" s="86"/>
      <c r="W1" s="86"/>
      <c r="X1" s="86"/>
      <c r="Y1" s="86"/>
      <c r="Z1" s="86"/>
    </row>
    <row r="2" spans="1:64" ht="30" customHeight="1" x14ac:dyDescent="0.4">
      <c r="B2" s="67"/>
      <c r="C2" s="68"/>
      <c r="D2" s="11"/>
      <c r="E2" s="12"/>
      <c r="F2" s="11"/>
      <c r="I2" s="88" t="s">
        <v>1</v>
      </c>
      <c r="J2" s="89"/>
      <c r="K2" s="89"/>
      <c r="L2" s="89"/>
      <c r="M2" s="89"/>
      <c r="N2" s="89"/>
      <c r="O2" s="89"/>
      <c r="P2" s="13"/>
      <c r="Q2" s="85">
        <v>1</v>
      </c>
      <c r="R2" s="86"/>
      <c r="S2" s="86"/>
      <c r="T2" s="86"/>
      <c r="U2" s="86"/>
      <c r="V2" s="86"/>
      <c r="W2" s="86"/>
      <c r="X2" s="86"/>
      <c r="Y2" s="86"/>
      <c r="Z2" s="86"/>
    </row>
    <row r="3" spans="1:64" s="15" customFormat="1" ht="30" customHeight="1" x14ac:dyDescent="0.15">
      <c r="A3" s="4"/>
      <c r="B3" s="14"/>
      <c r="D3" s="16"/>
      <c r="E3" s="17"/>
    </row>
    <row r="4" spans="1:64" s="15" customFormat="1" ht="30" customHeight="1" x14ac:dyDescent="0.15">
      <c r="A4" s="5"/>
      <c r="B4" s="18"/>
      <c r="E4" s="19"/>
      <c r="I4" s="82">
        <f>I5</f>
        <v>45698</v>
      </c>
      <c r="J4" s="80"/>
      <c r="K4" s="80"/>
      <c r="L4" s="80"/>
      <c r="M4" s="80"/>
      <c r="N4" s="80"/>
      <c r="O4" s="80"/>
      <c r="P4" s="80">
        <f>P5</f>
        <v>45705</v>
      </c>
      <c r="Q4" s="80"/>
      <c r="R4" s="80"/>
      <c r="S4" s="80"/>
      <c r="T4" s="80"/>
      <c r="U4" s="80"/>
      <c r="V4" s="80"/>
      <c r="W4" s="80">
        <f>W5</f>
        <v>45712</v>
      </c>
      <c r="X4" s="80"/>
      <c r="Y4" s="80"/>
      <c r="Z4" s="80"/>
      <c r="AA4" s="80"/>
      <c r="AB4" s="80"/>
      <c r="AC4" s="80"/>
      <c r="AD4" s="80">
        <f>AD5</f>
        <v>45719</v>
      </c>
      <c r="AE4" s="80"/>
      <c r="AF4" s="80"/>
      <c r="AG4" s="80"/>
      <c r="AH4" s="80"/>
      <c r="AI4" s="80"/>
      <c r="AJ4" s="80"/>
      <c r="AK4" s="80">
        <f>AK5</f>
        <v>45726</v>
      </c>
      <c r="AL4" s="80"/>
      <c r="AM4" s="80"/>
      <c r="AN4" s="80"/>
      <c r="AO4" s="80"/>
      <c r="AP4" s="80"/>
      <c r="AQ4" s="80"/>
      <c r="AR4" s="80">
        <f>AR5</f>
        <v>45733</v>
      </c>
      <c r="AS4" s="80"/>
      <c r="AT4" s="80"/>
      <c r="AU4" s="80"/>
      <c r="AV4" s="80"/>
      <c r="AW4" s="80"/>
      <c r="AX4" s="80"/>
      <c r="AY4" s="80">
        <f>AY5</f>
        <v>45740</v>
      </c>
      <c r="AZ4" s="80"/>
      <c r="BA4" s="80"/>
      <c r="BB4" s="80"/>
      <c r="BC4" s="80"/>
      <c r="BD4" s="80"/>
      <c r="BE4" s="80"/>
      <c r="BF4" s="80">
        <f>BF5</f>
        <v>45747</v>
      </c>
      <c r="BG4" s="80"/>
      <c r="BH4" s="80"/>
      <c r="BI4" s="80"/>
      <c r="BJ4" s="80"/>
      <c r="BK4" s="80"/>
      <c r="BL4" s="81"/>
    </row>
    <row r="5" spans="1:64" s="15" customFormat="1" ht="15" customHeight="1" x14ac:dyDescent="0.15">
      <c r="A5" s="90"/>
      <c r="B5" s="91" t="s">
        <v>2</v>
      </c>
      <c r="C5" s="93" t="s">
        <v>3</v>
      </c>
      <c r="D5" s="83" t="s">
        <v>4</v>
      </c>
      <c r="E5" s="83" t="s">
        <v>5</v>
      </c>
      <c r="F5" s="83" t="s">
        <v>6</v>
      </c>
      <c r="I5" s="20">
        <f>Project_Start-WEEKDAY(Project_Start,1)+2+7*(Display_Week-1)</f>
        <v>45698</v>
      </c>
      <c r="J5" s="20">
        <f>I5+1</f>
        <v>45699</v>
      </c>
      <c r="K5" s="20">
        <f t="shared" ref="K5:AX5" si="0">J5+1</f>
        <v>45700</v>
      </c>
      <c r="L5" s="20">
        <f t="shared" si="0"/>
        <v>45701</v>
      </c>
      <c r="M5" s="20">
        <f t="shared" si="0"/>
        <v>45702</v>
      </c>
      <c r="N5" s="20">
        <f t="shared" si="0"/>
        <v>45703</v>
      </c>
      <c r="O5" s="21">
        <f t="shared" si="0"/>
        <v>45704</v>
      </c>
      <c r="P5" s="22">
        <f>O5+1</f>
        <v>45705</v>
      </c>
      <c r="Q5" s="20">
        <f>P5+1</f>
        <v>45706</v>
      </c>
      <c r="R5" s="20">
        <f t="shared" si="0"/>
        <v>45707</v>
      </c>
      <c r="S5" s="20">
        <f t="shared" si="0"/>
        <v>45708</v>
      </c>
      <c r="T5" s="20">
        <f t="shared" si="0"/>
        <v>45709</v>
      </c>
      <c r="U5" s="20">
        <f t="shared" si="0"/>
        <v>45710</v>
      </c>
      <c r="V5" s="21">
        <f t="shared" si="0"/>
        <v>45711</v>
      </c>
      <c r="W5" s="22">
        <f>V5+1</f>
        <v>45712</v>
      </c>
      <c r="X5" s="20">
        <f>W5+1</f>
        <v>45713</v>
      </c>
      <c r="Y5" s="20">
        <f t="shared" si="0"/>
        <v>45714</v>
      </c>
      <c r="Z5" s="20">
        <f t="shared" si="0"/>
        <v>45715</v>
      </c>
      <c r="AA5" s="20">
        <f t="shared" si="0"/>
        <v>45716</v>
      </c>
      <c r="AB5" s="20">
        <f t="shared" si="0"/>
        <v>45717</v>
      </c>
      <c r="AC5" s="21">
        <f t="shared" si="0"/>
        <v>45718</v>
      </c>
      <c r="AD5" s="22">
        <f>AC5+1</f>
        <v>45719</v>
      </c>
      <c r="AE5" s="20">
        <f>AD5+1</f>
        <v>45720</v>
      </c>
      <c r="AF5" s="20">
        <f t="shared" si="0"/>
        <v>45721</v>
      </c>
      <c r="AG5" s="20">
        <f t="shared" si="0"/>
        <v>45722</v>
      </c>
      <c r="AH5" s="20">
        <f t="shared" si="0"/>
        <v>45723</v>
      </c>
      <c r="AI5" s="20">
        <f t="shared" si="0"/>
        <v>45724</v>
      </c>
      <c r="AJ5" s="21">
        <f t="shared" si="0"/>
        <v>45725</v>
      </c>
      <c r="AK5" s="22">
        <f>AJ5+1</f>
        <v>45726</v>
      </c>
      <c r="AL5" s="20">
        <f>AK5+1</f>
        <v>45727</v>
      </c>
      <c r="AM5" s="20">
        <f t="shared" si="0"/>
        <v>45728</v>
      </c>
      <c r="AN5" s="20">
        <f t="shared" si="0"/>
        <v>45729</v>
      </c>
      <c r="AO5" s="20">
        <f t="shared" si="0"/>
        <v>45730</v>
      </c>
      <c r="AP5" s="20">
        <f t="shared" si="0"/>
        <v>45731</v>
      </c>
      <c r="AQ5" s="21">
        <f t="shared" si="0"/>
        <v>45732</v>
      </c>
      <c r="AR5" s="22">
        <f>AQ5+1</f>
        <v>45733</v>
      </c>
      <c r="AS5" s="20">
        <f>AR5+1</f>
        <v>45734</v>
      </c>
      <c r="AT5" s="20">
        <f t="shared" si="0"/>
        <v>45735</v>
      </c>
      <c r="AU5" s="20">
        <f t="shared" si="0"/>
        <v>45736</v>
      </c>
      <c r="AV5" s="20">
        <f t="shared" si="0"/>
        <v>45737</v>
      </c>
      <c r="AW5" s="20">
        <f t="shared" si="0"/>
        <v>45738</v>
      </c>
      <c r="AX5" s="21">
        <f t="shared" si="0"/>
        <v>45739</v>
      </c>
      <c r="AY5" s="22">
        <f>AX5+1</f>
        <v>45740</v>
      </c>
      <c r="AZ5" s="20">
        <f>AY5+1</f>
        <v>45741</v>
      </c>
      <c r="BA5" s="20">
        <f t="shared" ref="BA5:BE5" si="1">AZ5+1</f>
        <v>45742</v>
      </c>
      <c r="BB5" s="20">
        <f t="shared" si="1"/>
        <v>45743</v>
      </c>
      <c r="BC5" s="20">
        <f t="shared" si="1"/>
        <v>45744</v>
      </c>
      <c r="BD5" s="20">
        <f t="shared" si="1"/>
        <v>45745</v>
      </c>
      <c r="BE5" s="21">
        <f t="shared" si="1"/>
        <v>45746</v>
      </c>
      <c r="BF5" s="22">
        <f>BE5+1</f>
        <v>45747</v>
      </c>
      <c r="BG5" s="20">
        <f>BF5+1</f>
        <v>45748</v>
      </c>
      <c r="BH5" s="20">
        <f t="shared" ref="BH5:BL5" si="2">BG5+1</f>
        <v>45749</v>
      </c>
      <c r="BI5" s="20">
        <f t="shared" si="2"/>
        <v>45750</v>
      </c>
      <c r="BJ5" s="20">
        <f t="shared" si="2"/>
        <v>45751</v>
      </c>
      <c r="BK5" s="20">
        <f t="shared" si="2"/>
        <v>45752</v>
      </c>
      <c r="BL5" s="20">
        <f t="shared" si="2"/>
        <v>45753</v>
      </c>
    </row>
    <row r="6" spans="1:64" s="15" customFormat="1" ht="15" customHeight="1" thickBot="1" x14ac:dyDescent="0.2">
      <c r="A6" s="90"/>
      <c r="B6" s="92"/>
      <c r="C6" s="84"/>
      <c r="D6" s="84"/>
      <c r="E6" s="84"/>
      <c r="F6" s="84"/>
      <c r="I6" s="23" t="str">
        <f t="shared" ref="I6:AN6" si="3">LEFT(TEXT(I5,"ddd"),1)</f>
        <v>M</v>
      </c>
      <c r="J6" s="24" t="str">
        <f t="shared" si="3"/>
        <v>T</v>
      </c>
      <c r="K6" s="24" t="str">
        <f t="shared" si="3"/>
        <v>W</v>
      </c>
      <c r="L6" s="24" t="str">
        <f t="shared" si="3"/>
        <v>T</v>
      </c>
      <c r="M6" s="24" t="str">
        <f t="shared" si="3"/>
        <v>F</v>
      </c>
      <c r="N6" s="24" t="str">
        <f t="shared" si="3"/>
        <v>S</v>
      </c>
      <c r="O6" s="24" t="str">
        <f t="shared" si="3"/>
        <v>S</v>
      </c>
      <c r="P6" s="24" t="str">
        <f t="shared" si="3"/>
        <v>M</v>
      </c>
      <c r="Q6" s="24" t="str">
        <f t="shared" si="3"/>
        <v>T</v>
      </c>
      <c r="R6" s="24" t="str">
        <f t="shared" si="3"/>
        <v>W</v>
      </c>
      <c r="S6" s="24" t="str">
        <f t="shared" si="3"/>
        <v>T</v>
      </c>
      <c r="T6" s="24" t="str">
        <f t="shared" si="3"/>
        <v>F</v>
      </c>
      <c r="U6" s="24" t="str">
        <f t="shared" si="3"/>
        <v>S</v>
      </c>
      <c r="V6" s="24" t="str">
        <f t="shared" si="3"/>
        <v>S</v>
      </c>
      <c r="W6" s="24" t="str">
        <f t="shared" si="3"/>
        <v>M</v>
      </c>
      <c r="X6" s="24" t="str">
        <f t="shared" si="3"/>
        <v>T</v>
      </c>
      <c r="Y6" s="24" t="str">
        <f t="shared" si="3"/>
        <v>W</v>
      </c>
      <c r="Z6" s="24" t="str">
        <f t="shared" si="3"/>
        <v>T</v>
      </c>
      <c r="AA6" s="24" t="str">
        <f t="shared" si="3"/>
        <v>F</v>
      </c>
      <c r="AB6" s="24" t="str">
        <f t="shared" si="3"/>
        <v>S</v>
      </c>
      <c r="AC6" s="24" t="str">
        <f t="shared" si="3"/>
        <v>S</v>
      </c>
      <c r="AD6" s="24" t="str">
        <f t="shared" si="3"/>
        <v>M</v>
      </c>
      <c r="AE6" s="24" t="str">
        <f t="shared" si="3"/>
        <v>T</v>
      </c>
      <c r="AF6" s="24" t="str">
        <f t="shared" si="3"/>
        <v>W</v>
      </c>
      <c r="AG6" s="24" t="str">
        <f t="shared" si="3"/>
        <v>T</v>
      </c>
      <c r="AH6" s="24" t="str">
        <f t="shared" si="3"/>
        <v>F</v>
      </c>
      <c r="AI6" s="24" t="str">
        <f t="shared" si="3"/>
        <v>S</v>
      </c>
      <c r="AJ6" s="24" t="str">
        <f t="shared" si="3"/>
        <v>S</v>
      </c>
      <c r="AK6" s="24" t="str">
        <f t="shared" si="3"/>
        <v>M</v>
      </c>
      <c r="AL6" s="24" t="str">
        <f t="shared" si="3"/>
        <v>T</v>
      </c>
      <c r="AM6" s="24" t="str">
        <f t="shared" si="3"/>
        <v>W</v>
      </c>
      <c r="AN6" s="24" t="str">
        <f t="shared" si="3"/>
        <v>T</v>
      </c>
      <c r="AO6" s="24" t="str">
        <f t="shared" ref="AO6:BL6" si="4">LEFT(TEXT(AO5,"ddd"),1)</f>
        <v>F</v>
      </c>
      <c r="AP6" s="24" t="str">
        <f t="shared" si="4"/>
        <v>S</v>
      </c>
      <c r="AQ6" s="24" t="str">
        <f t="shared" si="4"/>
        <v>S</v>
      </c>
      <c r="AR6" s="24" t="str">
        <f t="shared" si="4"/>
        <v>M</v>
      </c>
      <c r="AS6" s="24" t="str">
        <f t="shared" si="4"/>
        <v>T</v>
      </c>
      <c r="AT6" s="24" t="str">
        <f t="shared" si="4"/>
        <v>W</v>
      </c>
      <c r="AU6" s="24" t="str">
        <f t="shared" si="4"/>
        <v>T</v>
      </c>
      <c r="AV6" s="24" t="str">
        <f t="shared" si="4"/>
        <v>F</v>
      </c>
      <c r="AW6" s="24" t="str">
        <f t="shared" si="4"/>
        <v>S</v>
      </c>
      <c r="AX6" s="24" t="str">
        <f t="shared" si="4"/>
        <v>S</v>
      </c>
      <c r="AY6" s="24" t="str">
        <f t="shared" si="4"/>
        <v>M</v>
      </c>
      <c r="AZ6" s="24" t="str">
        <f t="shared" si="4"/>
        <v>T</v>
      </c>
      <c r="BA6" s="24" t="str">
        <f t="shared" si="4"/>
        <v>W</v>
      </c>
      <c r="BB6" s="24" t="str">
        <f t="shared" si="4"/>
        <v>T</v>
      </c>
      <c r="BC6" s="24" t="str">
        <f t="shared" si="4"/>
        <v>F</v>
      </c>
      <c r="BD6" s="24" t="str">
        <f t="shared" si="4"/>
        <v>S</v>
      </c>
      <c r="BE6" s="24" t="str">
        <f t="shared" si="4"/>
        <v>S</v>
      </c>
      <c r="BF6" s="24" t="str">
        <f t="shared" si="4"/>
        <v>M</v>
      </c>
      <c r="BG6" s="24" t="str">
        <f t="shared" si="4"/>
        <v>T</v>
      </c>
      <c r="BH6" s="24" t="str">
        <f t="shared" si="4"/>
        <v>W</v>
      </c>
      <c r="BI6" s="24" t="str">
        <f t="shared" si="4"/>
        <v>T</v>
      </c>
      <c r="BJ6" s="24" t="str">
        <f t="shared" si="4"/>
        <v>F</v>
      </c>
      <c r="BK6" s="24" t="str">
        <f t="shared" si="4"/>
        <v>S</v>
      </c>
      <c r="BL6" s="25" t="str">
        <f t="shared" si="4"/>
        <v>S</v>
      </c>
    </row>
    <row r="7" spans="1:64" s="15" customFormat="1" ht="30" hidden="1" customHeight="1" thickBot="1" x14ac:dyDescent="0.2">
      <c r="A7" s="4" t="s">
        <v>7</v>
      </c>
      <c r="B7" s="26"/>
      <c r="C7" s="27"/>
      <c r="D7" s="26"/>
      <c r="E7" s="26"/>
      <c r="F7" s="26"/>
      <c r="H7" s="15"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5" customFormat="1" ht="30" customHeight="1" thickBot="1" x14ac:dyDescent="0.2">
      <c r="A8" s="5"/>
      <c r="B8" s="29" t="s">
        <v>18</v>
      </c>
      <c r="C8" s="30"/>
      <c r="D8" s="31"/>
      <c r="E8" s="32"/>
      <c r="F8" s="33"/>
      <c r="G8" s="6"/>
      <c r="H8" s="3" t="str">
        <f t="shared" ref="H8:H31" si="5">IF(OR(ISBLANK(task_start),ISBLANK(task_end)),"",task_end-task_start+1)</f>
        <v/>
      </c>
      <c r="I8" s="34"/>
      <c r="J8" s="34"/>
      <c r="K8" s="34"/>
      <c r="L8" s="34"/>
      <c r="M8" s="34"/>
      <c r="N8" s="34"/>
      <c r="O8" s="34"/>
      <c r="P8" s="34"/>
      <c r="Q8" s="34"/>
      <c r="R8" s="34"/>
      <c r="S8" s="77"/>
      <c r="T8" s="77"/>
      <c r="U8" s="77"/>
      <c r="V8" s="77"/>
      <c r="W8" s="77"/>
      <c r="X8" s="77"/>
      <c r="Y8" s="77"/>
      <c r="Z8" s="77"/>
      <c r="AA8" s="77"/>
      <c r="AB8" s="77"/>
      <c r="AC8" s="77"/>
      <c r="AD8" s="77"/>
      <c r="AE8" s="77"/>
      <c r="AF8" s="77"/>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row>
    <row r="9" spans="1:64" s="35" customFormat="1" ht="30" customHeight="1" thickBot="1" x14ac:dyDescent="0.2">
      <c r="A9" s="5"/>
      <c r="B9" s="36" t="s">
        <v>17</v>
      </c>
      <c r="C9" s="37" t="s">
        <v>8</v>
      </c>
      <c r="D9" s="38">
        <v>1</v>
      </c>
      <c r="E9" s="39">
        <v>45706</v>
      </c>
      <c r="F9" s="39">
        <v>45715</v>
      </c>
      <c r="G9" s="6"/>
      <c r="H9" s="3">
        <f t="shared" si="5"/>
        <v>10</v>
      </c>
      <c r="I9" s="40"/>
      <c r="J9" s="40"/>
      <c r="K9" s="40"/>
      <c r="L9" s="40"/>
      <c r="M9" s="40"/>
      <c r="N9" s="40"/>
      <c r="O9" s="40"/>
      <c r="P9" s="74"/>
      <c r="Q9" s="40"/>
      <c r="R9" s="40"/>
      <c r="S9" s="79"/>
      <c r="T9" s="76"/>
      <c r="U9" s="76"/>
      <c r="V9" s="76"/>
      <c r="W9" s="76"/>
      <c r="X9" s="76"/>
      <c r="Y9" s="76"/>
      <c r="Z9" s="75"/>
      <c r="AA9" s="76"/>
      <c r="AB9" s="76"/>
      <c r="AC9" s="76"/>
      <c r="AD9" s="76"/>
      <c r="AE9" s="76"/>
      <c r="AF9" s="76"/>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row>
    <row r="10" spans="1:64" s="35" customFormat="1" ht="30" customHeight="1" thickBot="1" x14ac:dyDescent="0.2">
      <c r="A10" s="5"/>
      <c r="B10" s="41" t="s">
        <v>25</v>
      </c>
      <c r="C10" s="42" t="s">
        <v>9</v>
      </c>
      <c r="D10" s="43">
        <v>1</v>
      </c>
      <c r="E10" s="44">
        <v>45715</v>
      </c>
      <c r="F10" s="44">
        <v>45718</v>
      </c>
      <c r="G10" s="6"/>
      <c r="H10" s="3">
        <f t="shared" si="5"/>
        <v>4</v>
      </c>
      <c r="I10" s="40"/>
      <c r="J10" s="40"/>
      <c r="K10" s="40"/>
      <c r="L10" s="40"/>
      <c r="M10" s="40"/>
      <c r="N10" s="40"/>
      <c r="O10" s="40"/>
      <c r="P10" s="40"/>
      <c r="Q10" s="40"/>
      <c r="R10" s="40"/>
      <c r="S10" s="76"/>
      <c r="T10" s="76"/>
      <c r="U10" s="78"/>
      <c r="V10" s="78"/>
      <c r="W10" s="76"/>
      <c r="X10" s="76"/>
      <c r="Y10" s="76"/>
      <c r="Z10" s="76"/>
      <c r="AA10" s="76"/>
      <c r="AB10" s="76"/>
      <c r="AC10" s="76"/>
      <c r="AD10" s="76"/>
      <c r="AE10" s="76"/>
      <c r="AF10" s="76"/>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row>
    <row r="11" spans="1:64" s="35" customFormat="1" ht="30" customHeight="1" thickBot="1" x14ac:dyDescent="0.2">
      <c r="A11" s="4"/>
      <c r="B11" s="41" t="s">
        <v>22</v>
      </c>
      <c r="C11" s="42" t="s">
        <v>10</v>
      </c>
      <c r="D11" s="43">
        <v>1</v>
      </c>
      <c r="E11" s="44">
        <v>45708</v>
      </c>
      <c r="F11" s="44">
        <v>45718</v>
      </c>
      <c r="G11" s="6"/>
      <c r="H11" s="3">
        <f t="shared" si="5"/>
        <v>11</v>
      </c>
      <c r="I11" s="40"/>
      <c r="J11" s="40"/>
      <c r="K11" s="40"/>
      <c r="L11" s="40"/>
      <c r="M11" s="40"/>
      <c r="N11" s="40"/>
      <c r="O11" s="40"/>
      <c r="P11" s="40"/>
      <c r="Q11" s="40"/>
      <c r="R11" s="40"/>
      <c r="S11" s="76"/>
      <c r="T11" s="76"/>
      <c r="U11" s="76"/>
      <c r="V11" s="76"/>
      <c r="W11" s="76"/>
      <c r="X11" s="76"/>
      <c r="Y11" s="76"/>
      <c r="Z11" s="76"/>
      <c r="AA11" s="76"/>
      <c r="AB11" s="76"/>
      <c r="AC11" s="76"/>
      <c r="AD11" s="76"/>
      <c r="AE11" s="76"/>
      <c r="AF11" s="76"/>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row>
    <row r="12" spans="1:64" s="35" customFormat="1" ht="30" customHeight="1" thickBot="1" x14ac:dyDescent="0.2">
      <c r="A12" s="4"/>
      <c r="B12" s="41" t="s">
        <v>24</v>
      </c>
      <c r="C12" s="42" t="s">
        <v>11</v>
      </c>
      <c r="D12" s="43">
        <v>1</v>
      </c>
      <c r="E12" s="44">
        <v>45709</v>
      </c>
      <c r="F12" s="44">
        <v>45716</v>
      </c>
      <c r="G12" s="6"/>
      <c r="H12" s="3">
        <f t="shared" si="5"/>
        <v>8</v>
      </c>
      <c r="I12" s="40"/>
      <c r="J12" s="40"/>
      <c r="K12" s="40"/>
      <c r="L12" s="40"/>
      <c r="M12" s="40"/>
      <c r="N12" s="40"/>
      <c r="O12" s="40"/>
      <c r="P12" s="40"/>
      <c r="Q12" s="40"/>
      <c r="R12" s="40"/>
      <c r="S12" s="76"/>
      <c r="T12" s="76"/>
      <c r="U12" s="76"/>
      <c r="V12" s="76"/>
      <c r="W12" s="76"/>
      <c r="X12" s="76"/>
      <c r="Y12" s="78"/>
      <c r="Z12" s="76"/>
      <c r="AA12" s="76"/>
      <c r="AB12" s="76"/>
      <c r="AC12" s="76"/>
      <c r="AD12" s="76"/>
      <c r="AE12" s="76"/>
      <c r="AF12" s="76"/>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row>
    <row r="13" spans="1:64" s="35" customFormat="1" ht="30" customHeight="1" thickBot="1" x14ac:dyDescent="0.2">
      <c r="A13" s="4"/>
      <c r="B13" s="41" t="s">
        <v>23</v>
      </c>
      <c r="C13" s="42" t="s">
        <v>13</v>
      </c>
      <c r="D13" s="43">
        <v>1</v>
      </c>
      <c r="E13" s="44">
        <v>45709</v>
      </c>
      <c r="F13" s="44">
        <v>45718</v>
      </c>
      <c r="G13" s="6"/>
      <c r="H13" s="3"/>
      <c r="I13" s="40"/>
      <c r="J13" s="40"/>
      <c r="K13" s="40"/>
      <c r="L13" s="40"/>
      <c r="M13" s="40"/>
      <c r="N13" s="40"/>
      <c r="O13" s="40"/>
      <c r="P13" s="40"/>
      <c r="Q13" s="40"/>
      <c r="R13" s="40"/>
      <c r="S13" s="76"/>
      <c r="T13" s="76"/>
      <c r="U13" s="76"/>
      <c r="V13" s="76"/>
      <c r="W13" s="76"/>
      <c r="X13" s="76"/>
      <c r="Y13" s="78"/>
      <c r="Z13" s="76"/>
      <c r="AA13" s="76"/>
      <c r="AB13" s="76"/>
      <c r="AC13" s="76"/>
      <c r="AD13" s="76"/>
      <c r="AE13" s="76"/>
      <c r="AF13" s="76"/>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row>
    <row r="14" spans="1:64" s="35" customFormat="1" ht="30" customHeight="1" thickBot="1" x14ac:dyDescent="0.2">
      <c r="A14" s="4"/>
      <c r="B14" s="41" t="s">
        <v>21</v>
      </c>
      <c r="C14" s="42" t="s">
        <v>19</v>
      </c>
      <c r="D14" s="43">
        <v>1</v>
      </c>
      <c r="E14" s="44">
        <v>45715</v>
      </c>
      <c r="F14" s="44">
        <v>45721</v>
      </c>
      <c r="G14" s="6"/>
      <c r="H14" s="3"/>
      <c r="I14" s="40"/>
      <c r="J14" s="40"/>
      <c r="K14" s="40"/>
      <c r="L14" s="40"/>
      <c r="M14" s="40"/>
      <c r="N14" s="40"/>
      <c r="O14" s="40"/>
      <c r="P14" s="40"/>
      <c r="Q14" s="40"/>
      <c r="R14" s="40"/>
      <c r="S14" s="76"/>
      <c r="T14" s="76"/>
      <c r="U14" s="76"/>
      <c r="V14" s="76"/>
      <c r="W14" s="76"/>
      <c r="X14" s="76"/>
      <c r="Y14" s="78"/>
      <c r="Z14" s="76"/>
      <c r="AA14" s="76"/>
      <c r="AB14" s="76"/>
      <c r="AC14" s="76"/>
      <c r="AD14" s="76"/>
      <c r="AE14" s="76"/>
      <c r="AF14" s="76"/>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row>
    <row r="15" spans="1:64" s="35" customFormat="1" ht="30" customHeight="1" thickBot="1" x14ac:dyDescent="0.2">
      <c r="A15" s="4"/>
      <c r="B15" s="41" t="s">
        <v>16</v>
      </c>
      <c r="C15" s="42" t="s">
        <v>12</v>
      </c>
      <c r="D15" s="43">
        <v>1</v>
      </c>
      <c r="E15" s="44">
        <v>45714</v>
      </c>
      <c r="F15" s="44">
        <v>45718</v>
      </c>
      <c r="G15" s="6"/>
      <c r="H15" s="3">
        <f t="shared" si="5"/>
        <v>5</v>
      </c>
      <c r="I15" s="40"/>
      <c r="J15" s="40"/>
      <c r="K15" s="40"/>
      <c r="L15" s="40"/>
      <c r="M15" s="40"/>
      <c r="N15" s="40"/>
      <c r="O15" s="40"/>
      <c r="P15" s="40"/>
      <c r="Q15" s="40"/>
      <c r="R15" s="40"/>
      <c r="S15" s="76"/>
      <c r="T15" s="76"/>
      <c r="U15" s="76"/>
      <c r="V15" s="76"/>
      <c r="W15" s="76"/>
      <c r="X15" s="76"/>
      <c r="Y15" s="76"/>
      <c r="Z15" s="76"/>
      <c r="AA15" s="76"/>
      <c r="AB15" s="76"/>
      <c r="AC15" s="76"/>
      <c r="AD15" s="76"/>
      <c r="AE15" s="76"/>
      <c r="AF15" s="76"/>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row>
    <row r="16" spans="1:64" s="35" customFormat="1" ht="30" customHeight="1" thickBot="1" x14ac:dyDescent="0.2">
      <c r="A16" s="5"/>
      <c r="B16" s="46" t="s">
        <v>20</v>
      </c>
      <c r="C16" s="47"/>
      <c r="D16" s="48"/>
      <c r="E16" s="49"/>
      <c r="F16" s="50"/>
      <c r="G16" s="6"/>
      <c r="H16" s="3" t="str">
        <f t="shared" si="5"/>
        <v/>
      </c>
    </row>
    <row r="17" spans="1:64" s="35" customFormat="1" ht="30" customHeight="1" thickBot="1" x14ac:dyDescent="0.2">
      <c r="A17" s="5"/>
      <c r="B17" s="51"/>
      <c r="C17" s="52" t="s">
        <v>8</v>
      </c>
      <c r="D17" s="53">
        <v>0</v>
      </c>
      <c r="E17" s="54"/>
      <c r="F17" s="54"/>
      <c r="G17" s="6"/>
      <c r="H17" s="3" t="str">
        <f t="shared" si="5"/>
        <v/>
      </c>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row>
    <row r="18" spans="1:64" s="35" customFormat="1" ht="30" customHeight="1" thickBot="1" x14ac:dyDescent="0.2">
      <c r="A18" s="4"/>
      <c r="B18" s="51"/>
      <c r="C18" s="52" t="s">
        <v>9</v>
      </c>
      <c r="D18" s="53">
        <v>0</v>
      </c>
      <c r="E18" s="54"/>
      <c r="F18" s="54"/>
      <c r="G18" s="6"/>
      <c r="H18" s="3" t="str">
        <f t="shared" si="5"/>
        <v/>
      </c>
      <c r="I18" s="40"/>
      <c r="J18" s="40"/>
      <c r="K18" s="40"/>
      <c r="L18" s="40"/>
      <c r="M18" s="40"/>
      <c r="N18" s="40"/>
      <c r="O18" s="40"/>
      <c r="P18" s="40"/>
      <c r="Q18" s="40"/>
      <c r="R18" s="40"/>
      <c r="S18" s="40"/>
      <c r="T18" s="40"/>
      <c r="U18" s="45"/>
      <c r="V18" s="45"/>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row>
    <row r="19" spans="1:64" s="35" customFormat="1" ht="30" customHeight="1" thickBot="1" x14ac:dyDescent="0.2">
      <c r="A19" s="4"/>
      <c r="B19" s="51"/>
      <c r="C19" s="52" t="s">
        <v>10</v>
      </c>
      <c r="D19" s="53">
        <v>0</v>
      </c>
      <c r="E19" s="54"/>
      <c r="F19" s="54"/>
      <c r="G19" s="6"/>
      <c r="H19" s="3" t="str">
        <f t="shared" si="5"/>
        <v/>
      </c>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row>
    <row r="20" spans="1:64" s="35" customFormat="1" ht="30" customHeight="1" thickBot="1" x14ac:dyDescent="0.2">
      <c r="A20" s="4"/>
      <c r="B20" s="51"/>
      <c r="C20" s="52" t="s">
        <v>11</v>
      </c>
      <c r="D20" s="53">
        <v>0</v>
      </c>
      <c r="E20" s="54"/>
      <c r="F20" s="54"/>
      <c r="G20" s="6"/>
      <c r="H20" s="3" t="str">
        <f t="shared" si="5"/>
        <v/>
      </c>
      <c r="I20" s="40"/>
      <c r="J20" s="40"/>
      <c r="K20" s="40"/>
      <c r="L20" s="40"/>
      <c r="M20" s="40"/>
      <c r="N20" s="40"/>
      <c r="O20" s="40"/>
      <c r="P20" s="40"/>
      <c r="Q20" s="40"/>
      <c r="R20" s="40"/>
      <c r="S20" s="40"/>
      <c r="T20" s="40"/>
      <c r="U20" s="40"/>
      <c r="V20" s="40"/>
      <c r="W20" s="40"/>
      <c r="X20" s="40"/>
      <c r="Y20" s="45"/>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row>
    <row r="21" spans="1:64" s="35" customFormat="1" ht="30" customHeight="1" thickBot="1" x14ac:dyDescent="0.2">
      <c r="A21" s="4"/>
      <c r="B21" s="51"/>
      <c r="C21" s="52" t="s">
        <v>13</v>
      </c>
      <c r="D21" s="53">
        <v>0</v>
      </c>
      <c r="E21" s="54"/>
      <c r="F21" s="54"/>
      <c r="G21" s="6"/>
      <c r="H21" s="3"/>
      <c r="I21" s="40"/>
      <c r="J21" s="40"/>
      <c r="K21" s="40"/>
      <c r="L21" s="40"/>
      <c r="M21" s="40"/>
      <c r="N21" s="40"/>
      <c r="O21" s="40"/>
      <c r="P21" s="40"/>
      <c r="Q21" s="40"/>
      <c r="R21" s="40"/>
      <c r="S21" s="40"/>
      <c r="T21" s="40"/>
      <c r="U21" s="40"/>
      <c r="V21" s="40"/>
      <c r="W21" s="40"/>
      <c r="X21" s="40"/>
      <c r="Y21" s="45"/>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row>
    <row r="22" spans="1:64" s="35" customFormat="1" ht="30" customHeight="1" thickBot="1" x14ac:dyDescent="0.2">
      <c r="A22" s="4"/>
      <c r="B22" s="51"/>
      <c r="C22" s="52" t="s">
        <v>19</v>
      </c>
      <c r="D22" s="53">
        <v>0</v>
      </c>
      <c r="E22" s="54"/>
      <c r="F22" s="54"/>
      <c r="G22" s="6"/>
      <c r="H22" s="3"/>
      <c r="I22" s="40"/>
      <c r="J22" s="40"/>
      <c r="K22" s="40"/>
      <c r="L22" s="40"/>
      <c r="M22" s="40"/>
      <c r="N22" s="40"/>
      <c r="O22" s="40"/>
      <c r="P22" s="40"/>
      <c r="Q22" s="40"/>
      <c r="R22" s="40"/>
      <c r="S22" s="40"/>
      <c r="T22" s="40"/>
      <c r="U22" s="40"/>
      <c r="V22" s="40"/>
      <c r="W22" s="40"/>
      <c r="X22" s="40"/>
      <c r="Y22" s="45"/>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row>
    <row r="23" spans="1:64" s="35" customFormat="1" ht="30" customHeight="1" thickBot="1" x14ac:dyDescent="0.2">
      <c r="A23" s="4"/>
      <c r="B23" s="51"/>
      <c r="C23" s="52" t="s">
        <v>12</v>
      </c>
      <c r="D23" s="53">
        <v>0</v>
      </c>
      <c r="E23" s="54"/>
      <c r="F23" s="54"/>
      <c r="G23" s="6"/>
      <c r="H23" s="3" t="str">
        <f t="shared" si="5"/>
        <v/>
      </c>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row>
    <row r="24" spans="1:64" s="35" customFormat="1" ht="30" customHeight="1" thickBot="1" x14ac:dyDescent="0.2">
      <c r="A24" s="4"/>
      <c r="B24" s="55"/>
      <c r="C24" s="56"/>
      <c r="D24" s="57"/>
      <c r="E24" s="58"/>
      <c r="F24" s="59"/>
      <c r="G24" s="6"/>
      <c r="H24" s="3" t="str">
        <f t="shared" si="5"/>
        <v/>
      </c>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row>
    <row r="25" spans="1:64" s="35" customFormat="1" ht="30" customHeight="1" thickBot="1" x14ac:dyDescent="0.2">
      <c r="A25" s="4"/>
      <c r="B25" s="61"/>
      <c r="C25" s="62" t="s">
        <v>8</v>
      </c>
      <c r="D25" s="63">
        <v>0</v>
      </c>
      <c r="E25" s="64"/>
      <c r="F25" s="64"/>
      <c r="G25" s="6"/>
      <c r="H25" s="3" t="str">
        <f t="shared" si="5"/>
        <v/>
      </c>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row>
    <row r="26" spans="1:64" s="35" customFormat="1" ht="30" customHeight="1" thickBot="1" x14ac:dyDescent="0.2">
      <c r="A26" s="4"/>
      <c r="B26" s="61"/>
      <c r="C26" s="62" t="s">
        <v>9</v>
      </c>
      <c r="D26" s="63">
        <v>0</v>
      </c>
      <c r="E26" s="64"/>
      <c r="F26" s="64"/>
      <c r="G26" s="6"/>
      <c r="H26" s="3" t="str">
        <f t="shared" si="5"/>
        <v/>
      </c>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row>
    <row r="27" spans="1:64" s="35" customFormat="1" ht="30" customHeight="1" thickBot="1" x14ac:dyDescent="0.2">
      <c r="A27" s="4"/>
      <c r="B27" s="61"/>
      <c r="C27" s="62" t="s">
        <v>10</v>
      </c>
      <c r="D27" s="63">
        <v>0</v>
      </c>
      <c r="E27" s="64"/>
      <c r="F27" s="64"/>
      <c r="G27" s="6"/>
      <c r="H27" s="3" t="str">
        <f t="shared" si="5"/>
        <v/>
      </c>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row>
    <row r="28" spans="1:64" s="35" customFormat="1" ht="30" customHeight="1" thickBot="1" x14ac:dyDescent="0.2">
      <c r="A28" s="4"/>
      <c r="B28" s="61"/>
      <c r="C28" s="62" t="s">
        <v>11</v>
      </c>
      <c r="D28" s="63">
        <v>0</v>
      </c>
      <c r="E28" s="64"/>
      <c r="F28" s="64"/>
      <c r="G28" s="6"/>
      <c r="H28" s="3" t="str">
        <f t="shared" si="5"/>
        <v/>
      </c>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row>
    <row r="29" spans="1:64" s="35" customFormat="1" ht="30" customHeight="1" thickBot="1" x14ac:dyDescent="0.2">
      <c r="A29" s="4"/>
      <c r="B29" s="61"/>
      <c r="C29" s="62" t="s">
        <v>13</v>
      </c>
      <c r="D29" s="63">
        <v>0</v>
      </c>
      <c r="E29" s="64"/>
      <c r="F29" s="64"/>
      <c r="G29" s="6"/>
      <c r="H29" s="3"/>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row>
    <row r="30" spans="1:64" s="35" customFormat="1" ht="30" customHeight="1" thickBot="1" x14ac:dyDescent="0.2">
      <c r="A30" s="4"/>
      <c r="B30" s="61"/>
      <c r="C30" s="62" t="s">
        <v>14</v>
      </c>
      <c r="D30" s="63">
        <v>0</v>
      </c>
      <c r="E30" s="64"/>
      <c r="F30" s="64"/>
      <c r="G30" s="6"/>
      <c r="H30" s="3" t="str">
        <f t="shared" si="5"/>
        <v/>
      </c>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row>
    <row r="31" spans="1:64" s="35" customFormat="1" ht="30" customHeight="1" thickBot="1" x14ac:dyDescent="0.2">
      <c r="A31" s="4"/>
      <c r="B31" s="69"/>
      <c r="C31" s="70" t="s">
        <v>12</v>
      </c>
      <c r="D31" s="71">
        <v>0</v>
      </c>
      <c r="E31" s="72"/>
      <c r="F31" s="73"/>
      <c r="G31" s="6"/>
      <c r="H31" s="3" t="str">
        <f t="shared" si="5"/>
        <v/>
      </c>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row>
    <row r="32" spans="1:64" s="35" customFormat="1" ht="30" customHeight="1" x14ac:dyDescent="0.15">
      <c r="A32" s="4"/>
      <c r="B32" s="6"/>
    </row>
    <row r="33" spans="1:5" s="35" customFormat="1" ht="30" customHeight="1" x14ac:dyDescent="0.15">
      <c r="A33" s="4"/>
      <c r="B33" s="6"/>
    </row>
    <row r="34" spans="1:5" s="35" customFormat="1" ht="30" customHeight="1" x14ac:dyDescent="0.15">
      <c r="A34" s="4"/>
      <c r="B34" s="6"/>
    </row>
    <row r="35" spans="1:5" s="35" customFormat="1" ht="30" customHeight="1" x14ac:dyDescent="0.15">
      <c r="A35" s="4"/>
      <c r="B35" s="6"/>
    </row>
    <row r="36" spans="1:5" s="35" customFormat="1" ht="30" customHeight="1" x14ac:dyDescent="0.15">
      <c r="A36" s="4"/>
      <c r="B36" s="6"/>
    </row>
    <row r="37" spans="1:5" s="35" customFormat="1" ht="30" customHeight="1" x14ac:dyDescent="0.15">
      <c r="A37" s="4"/>
      <c r="B37" s="6"/>
    </row>
    <row r="38" spans="1:5" s="35" customFormat="1" ht="30" customHeight="1" x14ac:dyDescent="0.15">
      <c r="A38" s="5"/>
      <c r="B38" s="6"/>
      <c r="C38"/>
      <c r="D38"/>
      <c r="E38" s="2"/>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6" priority="1">
      <formula>AND(TODAY()&gt;=I$5, TODAY()&lt;J$5)</formula>
    </cfRule>
  </conditionalFormatting>
  <conditionalFormatting sqref="I9:BL15">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7:BL23">
    <cfRule type="expression" dxfId="3" priority="4">
      <formula>AND(task_start&lt;=I$5,ROUNDDOWN((task_end-task_start+1)*task_progress,0)+task_start-1&gt;=I$5)</formula>
    </cfRule>
    <cfRule type="expression" dxfId="2" priority="5" stopIfTrue="1">
      <formula>AND(task_end&gt;=I$5,task_start&lt;J$5)</formula>
    </cfRule>
  </conditionalFormatting>
  <conditionalFormatting sqref="I25:BL30">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24"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8"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Hassan Raza</dc:creator>
  <cp:keywords/>
  <dc:description/>
  <cp:lastModifiedBy>Sulaiman Saeed</cp:lastModifiedBy>
  <cp:revision/>
  <dcterms:created xsi:type="dcterms:W3CDTF">2025-02-25T15:16:09Z</dcterms:created>
  <dcterms:modified xsi:type="dcterms:W3CDTF">2025-03-05T01:11:28Z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