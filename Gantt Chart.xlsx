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unibradfordac-my.sharepoint.com/personal/mraza8_bradford_ac_uk/Documents/"/>
    </mc:Choice>
  </mc:AlternateContent>
  <xr:revisionPtr revIDLastSave="1" documentId="8_{9202EEF3-BB03-41CF-986E-84537171F05C}" xr6:coauthVersionLast="47" xr6:coauthVersionMax="47" xr10:uidLastSave="{DDF0F0CC-B664-48B9-BB4F-B66707A39625}"/>
  <bookViews>
    <workbookView xWindow="-120" yWindow="-120" windowWidth="29040" windowHeight="1764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E9" i="11" s="1"/>
  <c r="E25" i="11" s="1"/>
  <c r="F25" i="11" l="1"/>
  <c r="E26" i="11" s="1"/>
  <c r="E27" i="11" s="1"/>
  <c r="E32" i="11"/>
  <c r="F9" i="11"/>
  <c r="E10" i="11" s="1"/>
  <c r="I5" i="11"/>
  <c r="H38" i="11"/>
  <c r="H37" i="11"/>
  <c r="H31" i="11"/>
  <c r="H24" i="11"/>
  <c r="H16" i="11"/>
  <c r="H8" i="11"/>
  <c r="H25" i="11" l="1"/>
  <c r="F26" i="11"/>
  <c r="H26" i="11" s="1"/>
  <c r="F32" i="11"/>
  <c r="E33" i="11" s="1"/>
  <c r="E35" i="11"/>
  <c r="E36" i="11"/>
  <c r="H9" i="11"/>
  <c r="F27" i="11"/>
  <c r="E30" i="11"/>
  <c r="F10" i="11"/>
  <c r="E11" i="11" s="1"/>
  <c r="E15" i="11"/>
  <c r="E17" i="11" s="1"/>
  <c r="E18" i="11" s="1"/>
  <c r="I6" i="11"/>
  <c r="F36" i="11" l="1"/>
  <c r="H36" i="11" s="1"/>
  <c r="F33" i="11"/>
  <c r="E34" i="11" s="1"/>
  <c r="F35" i="11"/>
  <c r="H35" i="11" s="1"/>
  <c r="H32" i="11"/>
  <c r="F30" i="11"/>
  <c r="H30" i="11" s="1"/>
  <c r="H10" i="11"/>
  <c r="E28" i="11"/>
  <c r="H27" i="11"/>
  <c r="F18" i="11"/>
  <c r="F17" i="11"/>
  <c r="H17" i="11" s="1"/>
  <c r="F15" i="11"/>
  <c r="H15" i="11" s="1"/>
  <c r="F11" i="11"/>
  <c r="E12" i="11" s="1"/>
  <c r="J5" i="11"/>
  <c r="K5" i="11" s="1"/>
  <c r="L5" i="11" s="1"/>
  <c r="M5" i="11" s="1"/>
  <c r="N5" i="11" s="1"/>
  <c r="O5" i="11" s="1"/>
  <c r="P5" i="11" s="1"/>
  <c r="I4" i="11"/>
  <c r="H33" i="11" l="1"/>
  <c r="F34" i="11"/>
  <c r="H34" i="11" s="1"/>
  <c r="F28" i="11"/>
  <c r="H28" i="11" s="1"/>
  <c r="H18" i="11"/>
  <c r="E19" i="11"/>
  <c r="E20" i="11" s="1"/>
  <c r="E23" i="11" s="1"/>
  <c r="H11" i="11"/>
  <c r="F12" i="11"/>
  <c r="H12" i="11" s="1"/>
  <c r="P4" i="11"/>
  <c r="Q5" i="11"/>
  <c r="R5" i="11" s="1"/>
  <c r="S5" i="11" s="1"/>
  <c r="T5" i="11" s="1"/>
  <c r="U5" i="11" s="1"/>
  <c r="V5" i="11" s="1"/>
  <c r="W5" i="11" s="1"/>
  <c r="J6" i="11"/>
  <c r="F23" i="11" l="1"/>
  <c r="H23" i="11" s="1"/>
  <c r="F20" i="11"/>
  <c r="H20" i="11" s="1"/>
  <c r="F19" i="11"/>
  <c r="H19"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<sst xmlns="http://schemas.openxmlformats.org/spreadsheetml/2006/main" count="77" uniqueCount="62">
  <si>
    <t>Europa project</t>
  </si>
  <si>
    <t>Project start:</t>
  </si>
  <si>
    <t>VanArsdel, Ltd.</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</si>
  <si>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</si>
  <si>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</si>
  <si>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</si>
  <si>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</si>
  <si>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</si>
  <si>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</si>
  <si>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</si>
  <si>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</si>
  <si>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</si>
  <si>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</si>
  <si>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Define goals</t>
  </si>
  <si>
    <t>Gokce Aslan</t>
  </si>
  <si>
    <t>Hayden Cook</t>
  </si>
  <si>
    <t>Jens Martensson</t>
  </si>
  <si>
    <t>Nuria Acevedo</t>
  </si>
  <si>
    <t>Set up team</t>
  </si>
  <si>
    <t>Olivia Wilson</t>
  </si>
  <si>
    <t>Create schedule</t>
  </si>
  <si>
    <t>Identify deliverables</t>
  </si>
  <si>
    <t>Develop budget</t>
  </si>
  <si>
    <t>Define scope</t>
  </si>
  <si>
    <t>Identify risks</t>
  </si>
  <si>
    <t>Execute tasks</t>
  </si>
  <si>
    <t>Monitor progress</t>
  </si>
  <si>
    <t>Manage resources</t>
  </si>
  <si>
    <t>Provide updates</t>
  </si>
  <si>
    <t>Testing and validation</t>
  </si>
  <si>
    <t>Evaluation</t>
  </si>
  <si>
    <t>Track expenses</t>
  </si>
  <si>
    <t>Evaluate progress</t>
  </si>
  <si>
    <t>Address risks</t>
  </si>
  <si>
    <t>Gather feedback</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</si>
  <si>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</si>
  <si>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</si>
  <si>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</si>
  <si>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</si>
  <si>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</si>
  <si>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</si>
  <si>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</si>
  <si>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</si>
  <si>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</si>
  <si>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</si>
  <si>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</si>
  <si>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</si>
  <si>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</si>
  <si>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</si>
  <si>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Planning and distributing</t>
  </si>
  <si>
    <t>Coding and foundations</t>
  </si>
  <si>
    <t>Developing and executing</t>
  </si>
  <si>
    <t>Amaan Mahmood</t>
  </si>
  <si>
    <t>Hassan Raza</t>
  </si>
  <si>
    <t>Mehdi Bukhari</t>
  </si>
  <si>
    <t>Fahad Khan</t>
  </si>
  <si>
    <t>Fizzah Khan</t>
  </si>
  <si>
    <t>Sulaiman Saeed</t>
  </si>
  <si>
    <t>Adam Sajid</t>
  </si>
  <si>
    <t>Web designing</t>
  </si>
  <si>
    <t>Distributing taks</t>
  </si>
  <si>
    <t>Developing Gantt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</si>
</sst>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5"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5"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5" fontId="19"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5"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5" fontId="19"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5"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6"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1"/>
  <sheetViews>
    <sheetView showGridLines="0" tabSelected="1" showRuler="0" zoomScaleNormal="100" zoomScalePageLayoutView="70" workbookViewId="0">
      <selection activeCell="B15" sqref="B15"/>
    </sheetView>
  </sheetViews>
  <sheetFormatPr defaultColWidth="8.75" defaultRowHeight="30" customHeight="1" x14ac:dyDescent="0.2"/>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8" t="s">
        <v>0</v>
      </c>
      <c r="C1" s="18"/>
      <c r="D1" s="19"/>
      <c r="E1" s="20"/>
      <c r="F1" s="21"/>
      <c r="H1" s="1"/>
      <c r="I1" s="114" t="s">
        <v>1</v>
      </c>
      <c r="J1" s="115"/>
      <c r="K1" s="115"/>
      <c r="L1" s="115"/>
      <c r="M1" s="115"/>
      <c r="N1" s="115"/>
      <c r="O1" s="115"/>
      <c r="P1" s="24"/>
      <c r="Q1" s="113">
        <f ca="1">TODAY()</f>
        <v>45713</v>
      </c>
      <c r="R1" s="112"/>
      <c r="S1" s="112"/>
      <c r="T1" s="112"/>
      <c r="U1" s="112"/>
      <c r="V1" s="112"/>
      <c r="W1" s="112"/>
      <c r="X1" s="112"/>
      <c r="Y1" s="112"/>
      <c r="Z1" s="112"/>
    </row>
    <row r="2" spans="1:64" ht="30" customHeight="1" x14ac:dyDescent="0.5">
      <c r="B2" s="96" t="s">
        <v>2</v>
      </c>
      <c r="C2" s="97" t="s">
        <v>3</v>
      </c>
      <c r="D2" s="22"/>
      <c r="E2" s="23"/>
      <c r="F2" s="22"/>
      <c r="I2" s="114" t="s">
        <v>4</v>
      </c>
      <c r="J2" s="115"/>
      <c r="K2" s="115"/>
      <c r="L2" s="115"/>
      <c r="M2" s="115"/>
      <c r="N2" s="115"/>
      <c r="O2" s="115"/>
      <c r="P2" s="24"/>
      <c r="Q2" s="111">
        <v>1</v>
      </c>
      <c r="R2" s="112"/>
      <c r="S2" s="112"/>
      <c r="T2" s="112"/>
      <c r="U2" s="112"/>
      <c r="V2" s="112"/>
      <c r="W2" s="112"/>
      <c r="X2" s="112"/>
      <c r="Y2" s="112"/>
      <c r="Z2" s="112"/>
    </row>
    <row r="3" spans="1:64" s="26" customFormat="1" ht="30" customHeight="1" x14ac:dyDescent="0.25">
      <c r="A3" s="13"/>
      <c r="B3" s="25" t="s">
        <v>5</v>
      </c>
      <c r="D3" s="27"/>
      <c r="E3" s="28"/>
    </row>
    <row r="4" spans="1:64" s="26" customFormat="1" ht="30" customHeight="1" x14ac:dyDescent="0.2">
      <c r="A4" s="14"/>
      <c r="B4" s="29" t="s">
        <v>6</v>
      </c>
      <c r="E4" s="30"/>
      <c r="I4" s="108">
        <f ca="1">I5</f>
        <v>45712</v>
      </c>
      <c r="J4" s="106"/>
      <c r="K4" s="106"/>
      <c r="L4" s="106"/>
      <c r="M4" s="106"/>
      <c r="N4" s="106"/>
      <c r="O4" s="106"/>
      <c r="P4" s="106">
        <f ca="1">P5</f>
        <v>45719</v>
      </c>
      <c r="Q4" s="106"/>
      <c r="R4" s="106"/>
      <c r="S4" s="106"/>
      <c r="T4" s="106"/>
      <c r="U4" s="106"/>
      <c r="V4" s="106"/>
      <c r="W4" s="106">
        <f ca="1">W5</f>
        <v>45726</v>
      </c>
      <c r="X4" s="106"/>
      <c r="Y4" s="106"/>
      <c r="Z4" s="106"/>
      <c r="AA4" s="106"/>
      <c r="AB4" s="106"/>
      <c r="AC4" s="106"/>
      <c r="AD4" s="106">
        <f ca="1">AD5</f>
        <v>45733</v>
      </c>
      <c r="AE4" s="106"/>
      <c r="AF4" s="106"/>
      <c r="AG4" s="106"/>
      <c r="AH4" s="106"/>
      <c r="AI4" s="106"/>
      <c r="AJ4" s="106"/>
      <c r="AK4" s="106">
        <f ca="1">AK5</f>
        <v>45740</v>
      </c>
      <c r="AL4" s="106"/>
      <c r="AM4" s="106"/>
      <c r="AN4" s="106"/>
      <c r="AO4" s="106"/>
      <c r="AP4" s="106"/>
      <c r="AQ4" s="106"/>
      <c r="AR4" s="106">
        <f ca="1">AR5</f>
        <v>45747</v>
      </c>
      <c r="AS4" s="106"/>
      <c r="AT4" s="106"/>
      <c r="AU4" s="106"/>
      <c r="AV4" s="106"/>
      <c r="AW4" s="106"/>
      <c r="AX4" s="106"/>
      <c r="AY4" s="106">
        <f ca="1">AY5</f>
        <v>45754</v>
      </c>
      <c r="AZ4" s="106"/>
      <c r="BA4" s="106"/>
      <c r="BB4" s="106"/>
      <c r="BC4" s="106"/>
      <c r="BD4" s="106"/>
      <c r="BE4" s="106"/>
      <c r="BF4" s="106">
        <f ca="1">BF5</f>
        <v>45761</v>
      </c>
      <c r="BG4" s="106"/>
      <c r="BH4" s="106"/>
      <c r="BI4" s="106"/>
      <c r="BJ4" s="106"/>
      <c r="BK4" s="106"/>
      <c r="BL4" s="107"/>
    </row>
    <row r="5" spans="1:64" s="26" customFormat="1" ht="15" customHeight="1" x14ac:dyDescent="0.2">
      <c r="A5" s="116"/>
      <c r="B5" s="117" t="s">
        <v>7</v>
      </c>
      <c r="C5" s="119" t="s">
        <v>8</v>
      </c>
      <c r="D5" s="109" t="s">
        <v>9</v>
      </c>
      <c r="E5" s="109" t="s">
        <v>10</v>
      </c>
      <c r="F5" s="109" t="s">
        <v>11</v>
      </c>
      <c r="I5" s="31">
        <f ca="1">Project_Start-WEEKDAY(Project_Start,1)+2+7*(Display_Week-1)</f>
        <v>45712</v>
      </c>
      <c r="J5" s="31">
        <f ca="1">I5+1</f>
        <v>45713</v>
      </c>
      <c r="K5" s="31">
        <f t="shared" ref="K5:AX5" ca="1" si="0">J5+1</f>
        <v>45714</v>
      </c>
      <c r="L5" s="31">
        <f t="shared" ca="1" si="0"/>
        <v>45715</v>
      </c>
      <c r="M5" s="31">
        <f t="shared" ca="1" si="0"/>
        <v>45716</v>
      </c>
      <c r="N5" s="31">
        <f t="shared" ca="1" si="0"/>
        <v>45717</v>
      </c>
      <c r="O5" s="32">
        <f t="shared" ca="1" si="0"/>
        <v>45718</v>
      </c>
      <c r="P5" s="33">
        <f ca="1">O5+1</f>
        <v>45719</v>
      </c>
      <c r="Q5" s="31">
        <f ca="1">P5+1</f>
        <v>45720</v>
      </c>
      <c r="R5" s="31">
        <f t="shared" ca="1" si="0"/>
        <v>45721</v>
      </c>
      <c r="S5" s="31">
        <f t="shared" ca="1" si="0"/>
        <v>45722</v>
      </c>
      <c r="T5" s="31">
        <f t="shared" ca="1" si="0"/>
        <v>45723</v>
      </c>
      <c r="U5" s="31">
        <f t="shared" ca="1" si="0"/>
        <v>45724</v>
      </c>
      <c r="V5" s="32">
        <f t="shared" ca="1" si="0"/>
        <v>45725</v>
      </c>
      <c r="W5" s="33">
        <f ca="1">V5+1</f>
        <v>45726</v>
      </c>
      <c r="X5" s="31">
        <f ca="1">W5+1</f>
        <v>45727</v>
      </c>
      <c r="Y5" s="31">
        <f t="shared" ca="1" si="0"/>
        <v>45728</v>
      </c>
      <c r="Z5" s="31">
        <f t="shared" ca="1" si="0"/>
        <v>45729</v>
      </c>
      <c r="AA5" s="31">
        <f t="shared" ca="1" si="0"/>
        <v>45730</v>
      </c>
      <c r="AB5" s="31">
        <f t="shared" ca="1" si="0"/>
        <v>45731</v>
      </c>
      <c r="AC5" s="32">
        <f t="shared" ca="1" si="0"/>
        <v>45732</v>
      </c>
      <c r="AD5" s="33">
        <f ca="1">AC5+1</f>
        <v>45733</v>
      </c>
      <c r="AE5" s="31">
        <f ca="1">AD5+1</f>
        <v>45734</v>
      </c>
      <c r="AF5" s="31">
        <f t="shared" ca="1" si="0"/>
        <v>45735</v>
      </c>
      <c r="AG5" s="31">
        <f t="shared" ca="1" si="0"/>
        <v>45736</v>
      </c>
      <c r="AH5" s="31">
        <f t="shared" ca="1" si="0"/>
        <v>45737</v>
      </c>
      <c r="AI5" s="31">
        <f t="shared" ca="1" si="0"/>
        <v>45738</v>
      </c>
      <c r="AJ5" s="32">
        <f t="shared" ca="1" si="0"/>
        <v>45739</v>
      </c>
      <c r="AK5" s="33">
        <f ca="1">AJ5+1</f>
        <v>45740</v>
      </c>
      <c r="AL5" s="31">
        <f ca="1">AK5+1</f>
        <v>45741</v>
      </c>
      <c r="AM5" s="31">
        <f t="shared" ca="1" si="0"/>
        <v>45742</v>
      </c>
      <c r="AN5" s="31">
        <f t="shared" ca="1" si="0"/>
        <v>45743</v>
      </c>
      <c r="AO5" s="31">
        <f t="shared" ca="1" si="0"/>
        <v>45744</v>
      </c>
      <c r="AP5" s="31">
        <f t="shared" ca="1" si="0"/>
        <v>45745</v>
      </c>
      <c r="AQ5" s="32">
        <f t="shared" ca="1" si="0"/>
        <v>45746</v>
      </c>
      <c r="AR5" s="33">
        <f ca="1">AQ5+1</f>
        <v>45747</v>
      </c>
      <c r="AS5" s="31">
        <f ca="1">AR5+1</f>
        <v>45748</v>
      </c>
      <c r="AT5" s="31">
        <f t="shared" ca="1" si="0"/>
        <v>45749</v>
      </c>
      <c r="AU5" s="31">
        <f t="shared" ca="1" si="0"/>
        <v>45750</v>
      </c>
      <c r="AV5" s="31">
        <f t="shared" ca="1" si="0"/>
        <v>45751</v>
      </c>
      <c r="AW5" s="31">
        <f t="shared" ca="1" si="0"/>
        <v>45752</v>
      </c>
      <c r="AX5" s="32">
        <f t="shared" ca="1" si="0"/>
        <v>45753</v>
      </c>
      <c r="AY5" s="33">
        <f ca="1">AX5+1</f>
        <v>45754</v>
      </c>
      <c r="AZ5" s="31">
        <f ca="1">AY5+1</f>
        <v>45755</v>
      </c>
      <c r="BA5" s="31">
        <f t="shared" ref="BA5:BE5" ca="1" si="1">AZ5+1</f>
        <v>45756</v>
      </c>
      <c r="BB5" s="31">
        <f t="shared" ca="1" si="1"/>
        <v>45757</v>
      </c>
      <c r="BC5" s="31">
        <f t="shared" ca="1" si="1"/>
        <v>45758</v>
      </c>
      <c r="BD5" s="31">
        <f t="shared" ca="1" si="1"/>
        <v>45759</v>
      </c>
      <c r="BE5" s="32">
        <f t="shared" ca="1" si="1"/>
        <v>45760</v>
      </c>
      <c r="BF5" s="33">
        <f ca="1">BE5+1</f>
        <v>45761</v>
      </c>
      <c r="BG5" s="31">
        <f ca="1">BF5+1</f>
        <v>45762</v>
      </c>
      <c r="BH5" s="31">
        <f t="shared" ref="BH5:BL5" ca="1" si="2">BG5+1</f>
        <v>45763</v>
      </c>
      <c r="BI5" s="31">
        <f t="shared" ca="1" si="2"/>
        <v>45764</v>
      </c>
      <c r="BJ5" s="31">
        <f t="shared" ca="1" si="2"/>
        <v>45765</v>
      </c>
      <c r="BK5" s="31">
        <f t="shared" ca="1" si="2"/>
        <v>45766</v>
      </c>
      <c r="BL5" s="31">
        <f t="shared" ca="1" si="2"/>
        <v>45767</v>
      </c>
    </row>
    <row r="6" spans="1:64" s="26" customFormat="1" ht="15" customHeight="1" thickBot="1" x14ac:dyDescent="0.25">
      <c r="A6" s="116"/>
      <c r="B6" s="118"/>
      <c r="C6" s="110"/>
      <c r="D6" s="110"/>
      <c r="E6" s="110"/>
      <c r="F6" s="110"/>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25">
      <c r="A7" s="13" t="s">
        <v>12</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5">
      <c r="A8" s="14"/>
      <c r="B8" s="40" t="s">
        <v>49</v>
      </c>
      <c r="C8" s="41"/>
      <c r="D8" s="42"/>
      <c r="E8" s="43"/>
      <c r="F8" s="44"/>
      <c r="G8" s="17"/>
      <c r="H8" s="5" t="str">
        <f t="shared" ref="H8:H38"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5">
      <c r="A9" s="14"/>
      <c r="B9" s="47" t="s">
        <v>13</v>
      </c>
      <c r="C9" s="48" t="s">
        <v>52</v>
      </c>
      <c r="D9" s="49">
        <v>0.5</v>
      </c>
      <c r="E9" s="50">
        <f ca="1">Project_Start</f>
        <v>45713</v>
      </c>
      <c r="F9" s="50">
        <f ca="1">E9+3</f>
        <v>45716</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5">
      <c r="A10" s="14"/>
      <c r="B10" s="52" t="s">
        <v>59</v>
      </c>
      <c r="C10" s="53" t="s">
        <v>53</v>
      </c>
      <c r="D10" s="54">
        <v>0.6</v>
      </c>
      <c r="E10" s="55">
        <f ca="1">F9</f>
        <v>45716</v>
      </c>
      <c r="F10" s="55">
        <f ca="1">E10+2</f>
        <v>45718</v>
      </c>
      <c r="G10" s="17"/>
      <c r="H10" s="5">
        <f t="shared" ca="1"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25">
      <c r="A11" s="13"/>
      <c r="B11" s="52" t="s">
        <v>60</v>
      </c>
      <c r="C11" s="53" t="s">
        <v>54</v>
      </c>
      <c r="D11" s="54">
        <v>0.5</v>
      </c>
      <c r="E11" s="55">
        <f ca="1">F10</f>
        <v>45718</v>
      </c>
      <c r="F11" s="55">
        <f ca="1">E11+4</f>
        <v>45722</v>
      </c>
      <c r="G11" s="17"/>
      <c r="H11" s="5">
        <f t="shared" ca="1"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5">
      <c r="A12" s="13"/>
      <c r="B12" s="52" t="s">
        <v>20</v>
      </c>
      <c r="C12" s="53" t="s">
        <v>55</v>
      </c>
      <c r="D12" s="54">
        <v>0.25</v>
      </c>
      <c r="E12" s="55">
        <f ca="1">F11</f>
        <v>45722</v>
      </c>
      <c r="F12" s="55">
        <f ca="1">E12+5</f>
        <v>45727</v>
      </c>
      <c r="G12" s="17"/>
      <c r="H12" s="5">
        <f t="shared" ca="1"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5">
      <c r="A13" s="13"/>
      <c r="B13" s="52" t="s">
        <v>61</v>
      </c>
      <c r="C13" s="53" t="s">
        <v>57</v>
      </c>
      <c r="D13" s="54"/>
      <c r="E13" s="55"/>
      <c r="F13" s="55"/>
      <c r="G13" s="17"/>
      <c r="H13" s="5"/>
      <c r="I13" s="51"/>
      <c r="J13" s="51"/>
      <c r="K13" s="51"/>
      <c r="L13" s="51"/>
      <c r="M13" s="51"/>
      <c r="N13" s="51"/>
      <c r="O13" s="51"/>
      <c r="P13" s="51"/>
      <c r="Q13" s="51"/>
      <c r="R13" s="51"/>
      <c r="S13" s="51"/>
      <c r="T13" s="51"/>
      <c r="U13" s="51"/>
      <c r="V13" s="51"/>
      <c r="W13" s="51"/>
      <c r="X13" s="51"/>
      <c r="Y13" s="56"/>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25">
      <c r="A14" s="13"/>
      <c r="B14" s="52"/>
      <c r="C14" s="53" t="s">
        <v>58</v>
      </c>
      <c r="D14" s="54"/>
      <c r="E14" s="55"/>
      <c r="F14" s="55"/>
      <c r="G14" s="17"/>
      <c r="H14" s="5"/>
      <c r="I14" s="51"/>
      <c r="J14" s="51"/>
      <c r="K14" s="51"/>
      <c r="L14" s="51"/>
      <c r="M14" s="51"/>
      <c r="N14" s="51"/>
      <c r="O14" s="51"/>
      <c r="P14" s="51"/>
      <c r="Q14" s="51"/>
      <c r="R14" s="51"/>
      <c r="S14" s="51"/>
      <c r="T14" s="51"/>
      <c r="U14" s="51"/>
      <c r="V14" s="51"/>
      <c r="W14" s="51"/>
      <c r="X14" s="51"/>
      <c r="Y14" s="56"/>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25">
      <c r="A15" s="13"/>
      <c r="B15" s="52" t="s">
        <v>18</v>
      </c>
      <c r="C15" s="53" t="s">
        <v>56</v>
      </c>
      <c r="D15" s="54"/>
      <c r="E15" s="55">
        <f ca="1">E10+1</f>
        <v>45717</v>
      </c>
      <c r="F15" s="55">
        <f ca="1">E15+2</f>
        <v>45719</v>
      </c>
      <c r="G15" s="17"/>
      <c r="H15" s="5">
        <f t="shared" ca="1" si="5"/>
        <v>3</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25">
      <c r="A16" s="14"/>
      <c r="B16" s="57" t="s">
        <v>50</v>
      </c>
      <c r="C16" s="58"/>
      <c r="D16" s="59"/>
      <c r="E16" s="60"/>
      <c r="F16" s="61"/>
      <c r="G16" s="17"/>
      <c r="H16" s="5" t="str">
        <f t="shared" si="5"/>
        <v/>
      </c>
    </row>
    <row r="17" spans="1:64" s="46" customFormat="1" ht="30" customHeight="1" thickBot="1" x14ac:dyDescent="0.25">
      <c r="A17" s="14"/>
      <c r="B17" s="62" t="s">
        <v>20</v>
      </c>
      <c r="C17" s="63" t="s">
        <v>52</v>
      </c>
      <c r="D17" s="64">
        <v>0.5</v>
      </c>
      <c r="E17" s="65">
        <f ca="1">E15+1</f>
        <v>45718</v>
      </c>
      <c r="F17" s="65">
        <f ca="1">E17+4</f>
        <v>45722</v>
      </c>
      <c r="G17" s="17"/>
      <c r="H17" s="5">
        <f t="shared" ca="1" si="5"/>
        <v>5</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25">
      <c r="A18" s="13"/>
      <c r="B18" s="62" t="s">
        <v>21</v>
      </c>
      <c r="C18" s="63" t="s">
        <v>53</v>
      </c>
      <c r="D18" s="64">
        <v>0.5</v>
      </c>
      <c r="E18" s="65">
        <f ca="1">E17+2</f>
        <v>45720</v>
      </c>
      <c r="F18" s="65">
        <f ca="1">E18+5</f>
        <v>45725</v>
      </c>
      <c r="G18" s="17"/>
      <c r="H18" s="5">
        <f t="shared" ca="1" si="5"/>
        <v>6</v>
      </c>
      <c r="I18" s="51"/>
      <c r="J18" s="51"/>
      <c r="K18" s="51"/>
      <c r="L18" s="51"/>
      <c r="M18" s="51"/>
      <c r="N18" s="51"/>
      <c r="O18" s="51"/>
      <c r="P18" s="51"/>
      <c r="Q18" s="51"/>
      <c r="R18" s="51"/>
      <c r="S18" s="51"/>
      <c r="T18" s="51"/>
      <c r="U18" s="56"/>
      <c r="V18" s="56"/>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25">
      <c r="A19" s="13"/>
      <c r="B19" s="62" t="s">
        <v>22</v>
      </c>
      <c r="C19" s="63" t="s">
        <v>54</v>
      </c>
      <c r="D19" s="64"/>
      <c r="E19" s="65">
        <f ca="1">F18</f>
        <v>45725</v>
      </c>
      <c r="F19" s="65">
        <f ca="1">E19+3</f>
        <v>45728</v>
      </c>
      <c r="G19" s="17"/>
      <c r="H19" s="5">
        <f t="shared" ca="1" si="5"/>
        <v>4</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25">
      <c r="A20" s="13"/>
      <c r="B20" s="62" t="s">
        <v>23</v>
      </c>
      <c r="C20" s="63" t="s">
        <v>55</v>
      </c>
      <c r="D20" s="64"/>
      <c r="E20" s="65">
        <f ca="1">E19</f>
        <v>45725</v>
      </c>
      <c r="F20" s="65">
        <f ca="1">E20+2</f>
        <v>45727</v>
      </c>
      <c r="G20" s="17"/>
      <c r="H20" s="5">
        <f t="shared" ca="1" si="5"/>
        <v>3</v>
      </c>
      <c r="I20" s="51"/>
      <c r="J20" s="51"/>
      <c r="K20" s="51"/>
      <c r="L20" s="51"/>
      <c r="M20" s="51"/>
      <c r="N20" s="51"/>
      <c r="O20" s="51"/>
      <c r="P20" s="51"/>
      <c r="Q20" s="51"/>
      <c r="R20" s="51"/>
      <c r="S20" s="51"/>
      <c r="T20" s="51"/>
      <c r="U20" s="51"/>
      <c r="V20" s="51"/>
      <c r="W20" s="51"/>
      <c r="X20" s="51"/>
      <c r="Y20" s="56"/>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25">
      <c r="A21" s="13"/>
      <c r="B21" s="62"/>
      <c r="C21" s="63" t="s">
        <v>57</v>
      </c>
      <c r="D21" s="64"/>
      <c r="E21" s="65"/>
      <c r="F21" s="65"/>
      <c r="G21" s="17"/>
      <c r="H21" s="5"/>
      <c r="I21" s="51"/>
      <c r="J21" s="51"/>
      <c r="K21" s="51"/>
      <c r="L21" s="51"/>
      <c r="M21" s="51"/>
      <c r="N21" s="51"/>
      <c r="O21" s="51"/>
      <c r="P21" s="51"/>
      <c r="Q21" s="51"/>
      <c r="R21" s="51"/>
      <c r="S21" s="51"/>
      <c r="T21" s="51"/>
      <c r="U21" s="51"/>
      <c r="V21" s="51"/>
      <c r="W21" s="51"/>
      <c r="X21" s="51"/>
      <c r="Y21" s="56"/>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25">
      <c r="A22" s="13"/>
      <c r="B22" s="62"/>
      <c r="C22" s="63" t="s">
        <v>58</v>
      </c>
      <c r="D22" s="64"/>
      <c r="E22" s="65"/>
      <c r="F22" s="65"/>
      <c r="G22" s="17"/>
      <c r="H22" s="5"/>
      <c r="I22" s="51"/>
      <c r="J22" s="51"/>
      <c r="K22" s="51"/>
      <c r="L22" s="51"/>
      <c r="M22" s="51"/>
      <c r="N22" s="51"/>
      <c r="O22" s="51"/>
      <c r="P22" s="51"/>
      <c r="Q22" s="51"/>
      <c r="R22" s="51"/>
      <c r="S22" s="51"/>
      <c r="T22" s="51"/>
      <c r="U22" s="51"/>
      <c r="V22" s="51"/>
      <c r="W22" s="51"/>
      <c r="X22" s="51"/>
      <c r="Y22" s="56"/>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5">
      <c r="A23" s="13"/>
      <c r="B23" s="62" t="s">
        <v>24</v>
      </c>
      <c r="C23" s="63" t="s">
        <v>56</v>
      </c>
      <c r="D23" s="64"/>
      <c r="E23" s="65">
        <f ca="1">E20</f>
        <v>45725</v>
      </c>
      <c r="F23" s="65">
        <f ca="1">E23+3</f>
        <v>45728</v>
      </c>
      <c r="G23" s="17"/>
      <c r="H23" s="5">
        <f t="shared" ca="1" si="5"/>
        <v>4</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25">
      <c r="A24" s="13"/>
      <c r="B24" s="66" t="s">
        <v>51</v>
      </c>
      <c r="C24" s="67"/>
      <c r="D24" s="68"/>
      <c r="E24" s="69"/>
      <c r="F24" s="70"/>
      <c r="G24" s="17"/>
      <c r="H24" s="5" t="str">
        <f t="shared" si="5"/>
        <v/>
      </c>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row>
    <row r="25" spans="1:64" s="46" customFormat="1" ht="30" customHeight="1" thickBot="1" x14ac:dyDescent="0.25">
      <c r="A25" s="13"/>
      <c r="B25" s="72" t="s">
        <v>25</v>
      </c>
      <c r="C25" s="73" t="s">
        <v>14</v>
      </c>
      <c r="D25" s="74">
        <v>0.5</v>
      </c>
      <c r="E25" s="75">
        <f ca="1">E9+15</f>
        <v>45728</v>
      </c>
      <c r="F25" s="75">
        <f ca="1">E25+5</f>
        <v>45733</v>
      </c>
      <c r="G25" s="17"/>
      <c r="H25" s="5">
        <f t="shared" ca="1" si="5"/>
        <v>6</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25">
      <c r="A26" s="13"/>
      <c r="B26" s="72" t="s">
        <v>26</v>
      </c>
      <c r="C26" s="73" t="s">
        <v>15</v>
      </c>
      <c r="D26" s="74">
        <v>0.6</v>
      </c>
      <c r="E26" s="75">
        <f ca="1">F25+1</f>
        <v>45734</v>
      </c>
      <c r="F26" s="75">
        <f ca="1">E26+4</f>
        <v>45738</v>
      </c>
      <c r="G26" s="17"/>
      <c r="H26" s="5">
        <f t="shared" ca="1" si="5"/>
        <v>5</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25">
      <c r="A27" s="13"/>
      <c r="B27" s="72" t="s">
        <v>27</v>
      </c>
      <c r="C27" s="73" t="s">
        <v>16</v>
      </c>
      <c r="D27" s="74">
        <v>0.5</v>
      </c>
      <c r="E27" s="75">
        <f ca="1">E26+5</f>
        <v>45739</v>
      </c>
      <c r="F27" s="75">
        <f ca="1">E27+5</f>
        <v>45744</v>
      </c>
      <c r="G27" s="17"/>
      <c r="H27" s="5">
        <f t="shared" ca="1" si="5"/>
        <v>6</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25">
      <c r="A28" s="13"/>
      <c r="B28" s="72" t="s">
        <v>28</v>
      </c>
      <c r="C28" s="73" t="s">
        <v>17</v>
      </c>
      <c r="D28" s="74">
        <v>0.25</v>
      </c>
      <c r="E28" s="75">
        <f ca="1">F27+1</f>
        <v>45745</v>
      </c>
      <c r="F28" s="75">
        <f ca="1">E28+4</f>
        <v>45749</v>
      </c>
      <c r="G28" s="17"/>
      <c r="H28" s="5">
        <f t="shared" ca="1"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25">
      <c r="A29" s="13"/>
      <c r="B29" s="72"/>
      <c r="C29" s="73"/>
      <c r="D29" s="74"/>
      <c r="E29" s="75"/>
      <c r="F29" s="75"/>
      <c r="G29" s="17"/>
      <c r="H29" s="5"/>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25">
      <c r="A30" s="13"/>
      <c r="B30" s="72" t="s">
        <v>29</v>
      </c>
      <c r="C30" s="73" t="s">
        <v>19</v>
      </c>
      <c r="D30" s="74">
        <v>0.25</v>
      </c>
      <c r="E30" s="75">
        <f ca="1">E27</f>
        <v>45739</v>
      </c>
      <c r="F30" s="75">
        <f ca="1">E30+4</f>
        <v>45743</v>
      </c>
      <c r="G30" s="17"/>
      <c r="H30" s="5">
        <f t="shared" ca="1" si="5"/>
        <v>5</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25">
      <c r="A31" s="13"/>
      <c r="B31" s="76" t="s">
        <v>30</v>
      </c>
      <c r="C31" s="77"/>
      <c r="D31" s="78"/>
      <c r="E31" s="79"/>
      <c r="F31" s="80"/>
      <c r="G31" s="17"/>
      <c r="H31" s="5" t="str">
        <f t="shared" si="5"/>
        <v/>
      </c>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row>
    <row r="32" spans="1:64" s="46" customFormat="1" ht="30" customHeight="1" thickBot="1" x14ac:dyDescent="0.25">
      <c r="A32" s="13"/>
      <c r="B32" s="82" t="s">
        <v>26</v>
      </c>
      <c r="C32" s="83" t="s">
        <v>14</v>
      </c>
      <c r="D32" s="84">
        <v>0.25</v>
      </c>
      <c r="E32" s="85">
        <f ca="1">E25+2</f>
        <v>45730</v>
      </c>
      <c r="F32" s="85">
        <f ca="1">E32+3</f>
        <v>45733</v>
      </c>
      <c r="G32" s="17"/>
      <c r="H32" s="5">
        <f t="shared" ca="1" si="5"/>
        <v>4</v>
      </c>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row>
    <row r="33" spans="1:64" s="46" customFormat="1" ht="30" customHeight="1" thickBot="1" x14ac:dyDescent="0.25">
      <c r="A33" s="13"/>
      <c r="B33" s="82" t="s">
        <v>31</v>
      </c>
      <c r="C33" s="83" t="s">
        <v>15</v>
      </c>
      <c r="D33" s="84">
        <v>0.25</v>
      </c>
      <c r="E33" s="85">
        <f ca="1">F32</f>
        <v>45733</v>
      </c>
      <c r="F33" s="85">
        <f ca="1">E33+4</f>
        <v>45737</v>
      </c>
      <c r="G33" s="17"/>
      <c r="H33" s="5">
        <f t="shared" ca="1" si="5"/>
        <v>5</v>
      </c>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row>
    <row r="34" spans="1:64" s="46" customFormat="1" ht="30" customHeight="1" thickBot="1" x14ac:dyDescent="0.25">
      <c r="A34" s="13"/>
      <c r="B34" s="82" t="s">
        <v>32</v>
      </c>
      <c r="C34" s="83" t="s">
        <v>16</v>
      </c>
      <c r="D34" s="84">
        <v>0.5</v>
      </c>
      <c r="E34" s="85">
        <f ca="1">F33+1</f>
        <v>45738</v>
      </c>
      <c r="F34" s="85">
        <f ca="1">E34+3</f>
        <v>45741</v>
      </c>
      <c r="G34" s="17"/>
      <c r="H34" s="5">
        <f t="shared" ca="1" si="5"/>
        <v>4</v>
      </c>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row>
    <row r="35" spans="1:64" s="46" customFormat="1" ht="30" customHeight="1" thickBot="1" x14ac:dyDescent="0.25">
      <c r="A35" s="13"/>
      <c r="B35" s="82" t="s">
        <v>33</v>
      </c>
      <c r="C35" s="83" t="s">
        <v>17</v>
      </c>
      <c r="D35" s="84">
        <v>0.6</v>
      </c>
      <c r="E35" s="85">
        <f ca="1">E32+5</f>
        <v>45735</v>
      </c>
      <c r="F35" s="85">
        <f ca="1">E35+3</f>
        <v>45738</v>
      </c>
      <c r="G35" s="17"/>
      <c r="H35" s="5">
        <f t="shared" ca="1" si="5"/>
        <v>4</v>
      </c>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row>
    <row r="36" spans="1:64" s="46" customFormat="1" ht="30" customHeight="1" thickBot="1" x14ac:dyDescent="0.25">
      <c r="A36" s="13"/>
      <c r="B36" s="82" t="s">
        <v>34</v>
      </c>
      <c r="C36" s="83" t="s">
        <v>19</v>
      </c>
      <c r="D36" s="84">
        <v>0.5</v>
      </c>
      <c r="E36" s="85">
        <f ca="1">E32+7</f>
        <v>45737</v>
      </c>
      <c r="F36" s="85">
        <f ca="1">E36+5</f>
        <v>45742</v>
      </c>
      <c r="G36" s="17"/>
      <c r="H36" s="5">
        <f t="shared" ca="1" si="5"/>
        <v>6</v>
      </c>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row>
    <row r="37" spans="1:64" s="46" customFormat="1" ht="30" customHeight="1" thickBot="1" x14ac:dyDescent="0.25">
      <c r="A37" s="13"/>
      <c r="B37" s="86"/>
      <c r="C37" s="87"/>
      <c r="D37" s="88"/>
      <c r="E37" s="89"/>
      <c r="F37" s="89"/>
      <c r="G37" s="17"/>
      <c r="H37" s="5" t="str">
        <f t="shared" si="5"/>
        <v/>
      </c>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row>
    <row r="38" spans="1:64" s="46" customFormat="1" ht="30" customHeight="1" thickBot="1" x14ac:dyDescent="0.25">
      <c r="A38" s="14"/>
      <c r="B38" s="90" t="s">
        <v>35</v>
      </c>
      <c r="C38" s="91"/>
      <c r="D38" s="92"/>
      <c r="E38" s="93"/>
      <c r="F38" s="94"/>
      <c r="G38" s="17"/>
      <c r="H38" s="6" t="str">
        <f t="shared" si="5"/>
        <v/>
      </c>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row>
    <row r="39" spans="1:64" ht="30" customHeight="1" x14ac:dyDescent="0.2">
      <c r="G39" s="3"/>
    </row>
    <row r="40" spans="1:64" ht="30" customHeight="1" x14ac:dyDescent="0.25">
      <c r="C40" s="16"/>
      <c r="F40" s="15"/>
    </row>
    <row r="41" spans="1:64" ht="30" customHeight="1" x14ac:dyDescent="0.2">
      <c r="C41"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8">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6">
    <cfRule type="expression" dxfId="8" priority="1">
      <formula>AND(TODAY()&gt;=I$5, TODAY()&lt;J$5)</formula>
    </cfRule>
  </conditionalFormatting>
  <conditionalFormatting sqref="I9:BL15">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7:BL23">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5:BL30">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32:BL36">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6" xr:uid="{4F48FC41-E335-47F1-87AA-3333A52AD81C}"/>
    <dataValidation allowBlank="1" showInputMessage="1" showErrorMessage="1" prompt="Phase 3's sample block starts in cell B20." sqref="A24" xr:uid="{956902D1-D3B5-416D-BB69-9362D193BC0A}"/>
    <dataValidation allowBlank="1" showInputMessage="1" showErrorMessage="1" prompt="Phase 4's sample block starts in cell B26." sqref="A3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8"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20 F26:F27 E27 F3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9" t="s">
        <v>5</v>
      </c>
      <c r="B2" s="8"/>
    </row>
    <row r="3" spans="1:2" s="11" customFormat="1" ht="27" customHeight="1" x14ac:dyDescent="0.2">
      <c r="A3" s="100"/>
      <c r="B3" s="12"/>
    </row>
    <row r="4" spans="1:2" s="10" customFormat="1" ht="31.5" x14ac:dyDescent="0.6">
      <c r="A4" s="101" t="s">
        <v>36</v>
      </c>
    </row>
    <row r="5" spans="1:2" ht="74.25" customHeight="1" x14ac:dyDescent="0.2">
      <c r="A5" s="102" t="s">
        <v>37</v>
      </c>
    </row>
    <row r="6" spans="1:2" ht="26.25" customHeight="1" x14ac:dyDescent="0.2">
      <c r="A6" s="101" t="s">
        <v>38</v>
      </c>
    </row>
    <row r="7" spans="1:2" s="7" customFormat="1" ht="205.15" customHeight="1" x14ac:dyDescent="0.2">
      <c r="A7" s="103" t="s">
        <v>39</v>
      </c>
    </row>
    <row r="8" spans="1:2" s="10" customFormat="1" ht="31.5" x14ac:dyDescent="0.6">
      <c r="A8" s="101" t="s">
        <v>40</v>
      </c>
    </row>
    <row r="9" spans="1:2" ht="57" x14ac:dyDescent="0.2">
      <c r="A9" s="102" t="s">
        <v>41</v>
      </c>
    </row>
    <row r="10" spans="1:2" s="7" customFormat="1" ht="28.15" customHeight="1" x14ac:dyDescent="0.2">
      <c r="A10" s="104" t="s">
        <v>42</v>
      </c>
    </row>
    <row r="11" spans="1:2" s="10" customFormat="1" ht="31.5" x14ac:dyDescent="0.6">
      <c r="A11" s="101" t="s">
        <v>43</v>
      </c>
    </row>
    <row r="12" spans="1:2" ht="28.5" x14ac:dyDescent="0.2">
      <c r="A12" s="102" t="s">
        <v>44</v>
      </c>
    </row>
    <row r="13" spans="1:2" s="7" customFormat="1" ht="28.15" customHeight="1" x14ac:dyDescent="0.2">
      <c r="A13" s="104" t="s">
        <v>45</v>
      </c>
    </row>
    <row r="14" spans="1:2" s="10" customFormat="1" ht="31.5" x14ac:dyDescent="0.6">
      <c r="A14" s="101" t="s">
        <v>46</v>
      </c>
    </row>
    <row r="15" spans="1:2" ht="75" customHeight="1" x14ac:dyDescent="0.2">
      <c r="A15" s="102" t="s">
        <v>47</v>
      </c>
    </row>
    <row r="16" spans="1:2" ht="71.25" x14ac:dyDescent="0.2">
      <c r="A16" s="102" t="s">
        <v>48</v>
      </c>
    </row>
    <row r="17" spans="1:1" x14ac:dyDescent="0.2">
      <c r="A17" s="105"/>
    </row>
    <row r="18" spans="1:1" x14ac:dyDescent="0.2">
      <c r="A18" s="105"/>
    </row>
    <row r="19" spans="1:1" x14ac:dyDescent="0.2">
      <c r="A19" s="105"/>
    </row>
    <row r="20" spans="1:1" x14ac:dyDescent="0.2">
      <c r="A20" s="105"/>
    </row>
    <row r="21" spans="1:1" x14ac:dyDescent="0.2">
      <c r="A21" s="105"/>
    </row>
    <row r="22" spans="1:1" x14ac:dyDescent="0.2">
      <c r="A22" s="105"/>
    </row>
    <row r="23" spans="1:1" x14ac:dyDescent="0.2">
      <c r="A23" s="105"/>
    </row>
    <row r="24" spans="1:1" x14ac:dyDescent="0.2">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Hassan Raza</dc:creator>
  <cp:keywords/>
  <dc:description/>
  <cp:lastModifiedBy>Hassan Raza</cp:lastModifiedBy>
  <cp:revision/>
  <dcterms:created xsi:type="dcterms:W3CDTF">2025-02-25T15:16:09Z</dcterms:created>
  <dcterms:modified xsi:type="dcterms:W3CDTF">2025-02-25T15:33:15Z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